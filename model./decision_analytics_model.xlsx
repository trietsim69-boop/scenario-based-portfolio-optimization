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officedocument/2006/relationships/metadata/core-properties" Target="docProps/core0.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89a9ef9db382bf17/Documents/"/>
    </mc:Choice>
  </mc:AlternateContent>
  <xr:revisionPtr revIDLastSave="0" documentId="8_{87792551-5946-4602-80E6-D5A62C084B5F}" xr6:coauthVersionLast="47" xr6:coauthVersionMax="47" xr10:uidLastSave="{00000000-0000-0000-0000-000000000000}"/>
  <bookViews>
    <workbookView xWindow="-110" yWindow="-110" windowWidth="25820" windowHeight="13900" activeTab="2" xr2:uid="{00000000-000D-0000-FFFF-FFFF00000000}"/>
  </bookViews>
  <sheets>
    <sheet name="Scenarios probability" sheetId="1" r:id="rId1"/>
    <sheet name="Elicitation of functions" sheetId="2" r:id="rId2"/>
    <sheet name="Elicitation of weights" sheetId="3" r:id="rId3"/>
    <sheet name="Action Performance by Scenario" sheetId="4" r:id="rId4"/>
    <sheet name="Portfolio model" sheetId="5" r:id="rId5"/>
    <sheet name="Sensitivity analysis" sheetId="6" r:id="rId6"/>
  </sheets>
  <definedNames>
    <definedName name="solver_adj" localSheetId="4" hidden="1">'Portfolio model'!$B$29:$B$35</definedName>
    <definedName name="solver_cvg" localSheetId="4" hidden="1">0.0001</definedName>
    <definedName name="solver_drv" localSheetId="4" hidden="1">1</definedName>
    <definedName name="solver_eng" localSheetId="4" hidden="1">2</definedName>
    <definedName name="solver_est" localSheetId="4" hidden="1">1</definedName>
    <definedName name="solver_itr" localSheetId="4" hidden="1">2147483647</definedName>
    <definedName name="solver_lhs1" localSheetId="4" hidden="1">'Portfolio model'!$B$29:$B$35</definedName>
    <definedName name="solver_lhs10" localSheetId="4" hidden="1">'Portfolio model'!$B$41</definedName>
    <definedName name="solver_lhs2" localSheetId="4" hidden="1">'Portfolio model'!$B$45</definedName>
    <definedName name="solver_lhs3" localSheetId="4" hidden="1">'Portfolio model'!$B$45</definedName>
    <definedName name="solver_lhs4" localSheetId="4" hidden="1">'Portfolio model'!$B$44</definedName>
    <definedName name="solver_lhs5" localSheetId="4" hidden="1">'Portfolio model'!#REF!</definedName>
    <definedName name="solver_lhs6" localSheetId="4" hidden="1">'Portfolio model'!$B$43</definedName>
    <definedName name="solver_lhs7" localSheetId="4" hidden="1">'Portfolio model'!$B$42</definedName>
    <definedName name="solver_lhs8" localSheetId="4" hidden="1">'Portfolio model'!$B$41</definedName>
    <definedName name="solver_lhs9" localSheetId="4" hidden="1">'Portfolio model'!$B$41</definedName>
    <definedName name="solver_mip" localSheetId="4" hidden="1">2147483647</definedName>
    <definedName name="solver_mni" localSheetId="4" hidden="1">30</definedName>
    <definedName name="solver_mrt" localSheetId="4" hidden="1">0.075</definedName>
    <definedName name="solver_msl" localSheetId="4" hidden="1">2</definedName>
    <definedName name="solver_neg" localSheetId="4" hidden="1">1</definedName>
    <definedName name="solver_nod" localSheetId="4" hidden="1">2147483647</definedName>
    <definedName name="solver_num" localSheetId="4" hidden="1">9</definedName>
    <definedName name="solver_nwt" localSheetId="4" hidden="1">1</definedName>
    <definedName name="solver_opt" localSheetId="4" hidden="1">'Portfolio model'!$B$36</definedName>
    <definedName name="solver_pre" localSheetId="4" hidden="1">0.000001</definedName>
    <definedName name="solver_rbv" localSheetId="4" hidden="1">1</definedName>
    <definedName name="solver_rel1" localSheetId="4" hidden="1">5</definedName>
    <definedName name="solver_rel10" localSheetId="4" hidden="1">1</definedName>
    <definedName name="solver_rel2" localSheetId="4" hidden="1">1</definedName>
    <definedName name="solver_rel3" localSheetId="4" hidden="1">1</definedName>
    <definedName name="solver_rel4" localSheetId="4" hidden="1">3</definedName>
    <definedName name="solver_rel5" localSheetId="4" hidden="1">3</definedName>
    <definedName name="solver_rel6" localSheetId="4" hidden="1">1</definedName>
    <definedName name="solver_rel7" localSheetId="4" hidden="1">1</definedName>
    <definedName name="solver_rel8" localSheetId="4" hidden="1">1</definedName>
    <definedName name="solver_rel9" localSheetId="4" hidden="1">1</definedName>
    <definedName name="solver_rhs1" localSheetId="4" hidden="1">"binary"</definedName>
    <definedName name="solver_rhs10" localSheetId="4" hidden="1">'Portfolio model'!$D$41</definedName>
    <definedName name="solver_rhs2" localSheetId="4" hidden="1">'Portfolio model'!$D$45</definedName>
    <definedName name="solver_rhs3" localSheetId="4" hidden="1">'Portfolio model'!$D$45</definedName>
    <definedName name="solver_rhs4" localSheetId="4" hidden="1">'Portfolio model'!$D$44</definedName>
    <definedName name="solver_rhs5" localSheetId="4" hidden="1">'Portfolio model'!$D$44</definedName>
    <definedName name="solver_rhs6" localSheetId="4" hidden="1">'Portfolio model'!$D$43</definedName>
    <definedName name="solver_rhs7" localSheetId="4" hidden="1">'Portfolio model'!$D$42</definedName>
    <definedName name="solver_rhs8" localSheetId="4" hidden="1">'Portfolio model'!$D$41</definedName>
    <definedName name="solver_rhs9" localSheetId="4" hidden="1">'Portfolio model'!$D$41</definedName>
    <definedName name="solver_rlx" localSheetId="4" hidden="1">2</definedName>
    <definedName name="solver_rsd" localSheetId="4" hidden="1">0</definedName>
    <definedName name="solver_scl" localSheetId="4" hidden="1">1</definedName>
    <definedName name="solver_sho" localSheetId="4" hidden="1">2</definedName>
    <definedName name="solver_ssz" localSheetId="4" hidden="1">100</definedName>
    <definedName name="solver_tim" localSheetId="4" hidden="1">2147483647</definedName>
    <definedName name="solver_tol" localSheetId="4" hidden="1">0.01</definedName>
    <definedName name="solver_typ" localSheetId="4" hidden="1">1</definedName>
    <definedName name="solver_val" localSheetId="4" hidden="1">0</definedName>
    <definedName name="solver_ver" localSheetId="4" hidden="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U12" i="6" l="1"/>
  <c r="T12" i="6"/>
  <c r="S12" i="6"/>
  <c r="R12" i="6"/>
  <c r="Q12" i="6"/>
  <c r="P12" i="6"/>
  <c r="O12" i="6"/>
  <c r="U11" i="6"/>
  <c r="T11" i="6"/>
  <c r="S11" i="6"/>
  <c r="R11" i="6"/>
  <c r="Q11" i="6"/>
  <c r="P11" i="6"/>
  <c r="O11" i="6"/>
  <c r="U10" i="6"/>
  <c r="T10" i="6"/>
  <c r="S10" i="6"/>
  <c r="R10" i="6"/>
  <c r="Q10" i="6"/>
  <c r="P10" i="6"/>
  <c r="O10" i="6"/>
  <c r="U9" i="6"/>
  <c r="T9" i="6"/>
  <c r="S9" i="6"/>
  <c r="R9" i="6"/>
  <c r="Q9" i="6"/>
  <c r="P9" i="6"/>
  <c r="O9" i="6"/>
  <c r="U8" i="6"/>
  <c r="T8" i="6"/>
  <c r="S8" i="6"/>
  <c r="R8" i="6"/>
  <c r="Q8" i="6"/>
  <c r="P8" i="6"/>
  <c r="O8" i="6"/>
  <c r="U7" i="6"/>
  <c r="T7" i="6"/>
  <c r="S7" i="6"/>
  <c r="R7" i="6"/>
  <c r="Q7" i="6"/>
  <c r="P7" i="6"/>
  <c r="O7" i="6"/>
  <c r="U6" i="6"/>
  <c r="T6" i="6"/>
  <c r="S6" i="6"/>
  <c r="R6" i="6"/>
  <c r="Q6" i="6"/>
  <c r="P6" i="6"/>
  <c r="O6" i="6"/>
  <c r="U5" i="6"/>
  <c r="T5" i="6"/>
  <c r="S5" i="6"/>
  <c r="R5" i="6"/>
  <c r="Q5" i="6"/>
  <c r="P5" i="6"/>
  <c r="O5" i="6"/>
  <c r="M5" i="6"/>
  <c r="L5" i="6"/>
  <c r="K5" i="6"/>
  <c r="J5" i="6"/>
  <c r="J17" i="6" s="1"/>
  <c r="H5" i="6"/>
  <c r="G5" i="6"/>
  <c r="F5" i="6"/>
  <c r="E5" i="6"/>
  <c r="D5" i="6"/>
  <c r="C5" i="6"/>
  <c r="B5" i="6"/>
  <c r="B45" i="5"/>
  <c r="B44" i="5"/>
  <c r="B43" i="5"/>
  <c r="B42" i="5"/>
  <c r="B41" i="5"/>
  <c r="B40" i="5"/>
  <c r="F10" i="5"/>
  <c r="AA9" i="5"/>
  <c r="W9" i="5"/>
  <c r="V9" i="5"/>
  <c r="W8" i="5"/>
  <c r="V8" i="5"/>
  <c r="D10" i="3"/>
  <c r="D9" i="3"/>
  <c r="D8" i="3"/>
  <c r="D7" i="3"/>
  <c r="D6" i="3"/>
  <c r="D5" i="3"/>
  <c r="D4" i="3"/>
  <c r="D3" i="3"/>
  <c r="G2" i="3"/>
  <c r="K82" i="2"/>
  <c r="T26" i="4" s="1"/>
  <c r="AC6" i="5" s="1"/>
  <c r="K81" i="2"/>
  <c r="T11" i="4" s="1"/>
  <c r="M9" i="5" s="1"/>
  <c r="K80" i="2"/>
  <c r="T28" i="4" s="1"/>
  <c r="AC8" i="5" s="1"/>
  <c r="I74" i="2"/>
  <c r="G71" i="2"/>
  <c r="F71" i="2"/>
  <c r="G70" i="2"/>
  <c r="F70" i="2"/>
  <c r="I64" i="2"/>
  <c r="G61" i="2"/>
  <c r="F61" i="2"/>
  <c r="G60" i="2"/>
  <c r="F60" i="2"/>
  <c r="K51" i="2"/>
  <c r="Q20" i="4" s="1"/>
  <c r="R9" i="5" s="1"/>
  <c r="K50" i="2"/>
  <c r="Q28" i="4" s="1"/>
  <c r="Z8" i="5" s="1"/>
  <c r="K42" i="2"/>
  <c r="P6" i="4" s="1"/>
  <c r="I4" i="5" s="1"/>
  <c r="K41" i="2"/>
  <c r="P28" i="4" s="1"/>
  <c r="Y8" i="5" s="1"/>
  <c r="K40" i="2"/>
  <c r="P7" i="4" s="1"/>
  <c r="I5" i="5" s="1"/>
  <c r="K32" i="2"/>
  <c r="O20" i="4" s="1"/>
  <c r="P9" i="5" s="1"/>
  <c r="K31" i="2"/>
  <c r="O9" i="4" s="1"/>
  <c r="H7" i="5" s="1"/>
  <c r="K30" i="2"/>
  <c r="O18" i="4" s="1"/>
  <c r="P7" i="5" s="1"/>
  <c r="I24" i="2"/>
  <c r="G21" i="2"/>
  <c r="F21" i="2"/>
  <c r="G20" i="2"/>
  <c r="F20" i="2"/>
  <c r="I14" i="2"/>
  <c r="G11" i="2"/>
  <c r="F11" i="2"/>
  <c r="G10" i="2"/>
  <c r="F10" i="2"/>
  <c r="T30" i="4"/>
  <c r="AC10" i="5" s="1"/>
  <c r="S30" i="4"/>
  <c r="AB10" i="5" s="1"/>
  <c r="R30" i="4"/>
  <c r="AA10" i="5" s="1"/>
  <c r="Q30" i="4"/>
  <c r="Z10" i="5" s="1"/>
  <c r="N30" i="4"/>
  <c r="W10" i="5" s="1"/>
  <c r="M30" i="4"/>
  <c r="V10" i="5" s="1"/>
  <c r="L30" i="4"/>
  <c r="S29" i="4"/>
  <c r="AB9" i="5" s="1"/>
  <c r="R29" i="4"/>
  <c r="N29" i="4"/>
  <c r="M29" i="4"/>
  <c r="L29" i="4"/>
  <c r="S28" i="4"/>
  <c r="AB8" i="5" s="1"/>
  <c r="R28" i="4"/>
  <c r="AA8" i="5" s="1"/>
  <c r="N28" i="4"/>
  <c r="M28" i="4"/>
  <c r="L28" i="4"/>
  <c r="S27" i="4"/>
  <c r="AB7" i="5" s="1"/>
  <c r="R27" i="4"/>
  <c r="AA7" i="5" s="1"/>
  <c r="Q27" i="4"/>
  <c r="Z7" i="5" s="1"/>
  <c r="N27" i="4"/>
  <c r="W7" i="5" s="1"/>
  <c r="M27" i="4"/>
  <c r="V7" i="5" s="1"/>
  <c r="L27" i="4"/>
  <c r="S26" i="4"/>
  <c r="AB6" i="5" s="1"/>
  <c r="R26" i="4"/>
  <c r="AA6" i="5" s="1"/>
  <c r="Q26" i="4"/>
  <c r="Z6" i="5" s="1"/>
  <c r="N26" i="4"/>
  <c r="W6" i="5" s="1"/>
  <c r="M26" i="4"/>
  <c r="V6" i="5" s="1"/>
  <c r="L26" i="4"/>
  <c r="S25" i="4"/>
  <c r="AB5" i="5" s="1"/>
  <c r="R25" i="4"/>
  <c r="AA5" i="5" s="1"/>
  <c r="P25" i="4"/>
  <c r="Y5" i="5" s="1"/>
  <c r="N25" i="4"/>
  <c r="W5" i="5" s="1"/>
  <c r="M25" i="4"/>
  <c r="V5" i="5" s="1"/>
  <c r="L25" i="4"/>
  <c r="S24" i="4"/>
  <c r="AB4" i="5" s="1"/>
  <c r="R24" i="4"/>
  <c r="AA4" i="5" s="1"/>
  <c r="Q24" i="4"/>
  <c r="Z4" i="5" s="1"/>
  <c r="O24" i="4"/>
  <c r="X4" i="5" s="1"/>
  <c r="N24" i="4"/>
  <c r="W4" i="5" s="1"/>
  <c r="M24" i="4"/>
  <c r="V4" i="5" s="1"/>
  <c r="L24" i="4"/>
  <c r="S21" i="4"/>
  <c r="T10" i="5" s="1"/>
  <c r="R21" i="4"/>
  <c r="S10" i="5" s="1"/>
  <c r="N21" i="4"/>
  <c r="O10" i="5" s="1"/>
  <c r="M21" i="4"/>
  <c r="N10" i="5" s="1"/>
  <c r="L21" i="4"/>
  <c r="S20" i="4"/>
  <c r="T9" i="5" s="1"/>
  <c r="R20" i="4"/>
  <c r="S9" i="5" s="1"/>
  <c r="N20" i="4"/>
  <c r="O9" i="5" s="1"/>
  <c r="M20" i="4"/>
  <c r="N9" i="5" s="1"/>
  <c r="L20" i="4"/>
  <c r="S19" i="4"/>
  <c r="T8" i="5" s="1"/>
  <c r="R19" i="4"/>
  <c r="S8" i="5" s="1"/>
  <c r="P19" i="4"/>
  <c r="Q8" i="5" s="1"/>
  <c r="N19" i="4"/>
  <c r="O8" i="5" s="1"/>
  <c r="M19" i="4"/>
  <c r="N8" i="5" s="1"/>
  <c r="L19" i="4"/>
  <c r="S18" i="4"/>
  <c r="T7" i="5" s="1"/>
  <c r="R18" i="4"/>
  <c r="S7" i="5" s="1"/>
  <c r="N18" i="4"/>
  <c r="O7" i="5" s="1"/>
  <c r="M18" i="4"/>
  <c r="N7" i="5" s="1"/>
  <c r="L18" i="4"/>
  <c r="S17" i="4"/>
  <c r="T6" i="5" s="1"/>
  <c r="R17" i="4"/>
  <c r="S6" i="5" s="1"/>
  <c r="Q17" i="4"/>
  <c r="R6" i="5" s="1"/>
  <c r="N17" i="4"/>
  <c r="O6" i="5" s="1"/>
  <c r="M17" i="4"/>
  <c r="N6" i="5" s="1"/>
  <c r="L17" i="4"/>
  <c r="S16" i="4"/>
  <c r="T5" i="5" s="1"/>
  <c r="R16" i="4"/>
  <c r="S5" i="5" s="1"/>
  <c r="P16" i="4"/>
  <c r="Q5" i="5" s="1"/>
  <c r="O16" i="4"/>
  <c r="P5" i="5" s="1"/>
  <c r="N16" i="4"/>
  <c r="O5" i="5" s="1"/>
  <c r="M16" i="4"/>
  <c r="N5" i="5" s="1"/>
  <c r="L16" i="4"/>
  <c r="S15" i="4"/>
  <c r="T4" i="5" s="1"/>
  <c r="R15" i="4"/>
  <c r="S4" i="5" s="1"/>
  <c r="Q15" i="4"/>
  <c r="R4" i="5" s="1"/>
  <c r="P15" i="4"/>
  <c r="Q4" i="5" s="1"/>
  <c r="N15" i="4"/>
  <c r="O4" i="5" s="1"/>
  <c r="M15" i="4"/>
  <c r="N4" i="5" s="1"/>
  <c r="L15" i="4"/>
  <c r="S12" i="4"/>
  <c r="L10" i="5" s="1"/>
  <c r="R12" i="4"/>
  <c r="K10" i="5" s="1"/>
  <c r="N12" i="4"/>
  <c r="G10" i="5" s="1"/>
  <c r="M12" i="4"/>
  <c r="L12" i="4"/>
  <c r="S11" i="4"/>
  <c r="L9" i="5" s="1"/>
  <c r="R11" i="4"/>
  <c r="K9" i="5" s="1"/>
  <c r="N11" i="4"/>
  <c r="G9" i="5" s="1"/>
  <c r="M11" i="4"/>
  <c r="F9" i="5" s="1"/>
  <c r="L11" i="4"/>
  <c r="S10" i="4"/>
  <c r="L8" i="5" s="1"/>
  <c r="R10" i="4"/>
  <c r="K8" i="5" s="1"/>
  <c r="P10" i="4"/>
  <c r="I8" i="5" s="1"/>
  <c r="N10" i="4"/>
  <c r="G8" i="5" s="1"/>
  <c r="M10" i="4"/>
  <c r="F8" i="5" s="1"/>
  <c r="L10" i="4"/>
  <c r="S9" i="4"/>
  <c r="L7" i="5" s="1"/>
  <c r="R9" i="4"/>
  <c r="K7" i="5" s="1"/>
  <c r="N9" i="4"/>
  <c r="G7" i="5" s="1"/>
  <c r="M9" i="4"/>
  <c r="F7" i="5" s="1"/>
  <c r="L9" i="4"/>
  <c r="S8" i="4"/>
  <c r="L6" i="5" s="1"/>
  <c r="R8" i="4"/>
  <c r="K6" i="5" s="1"/>
  <c r="Q8" i="4"/>
  <c r="J6" i="5" s="1"/>
  <c r="N8" i="4"/>
  <c r="G6" i="5" s="1"/>
  <c r="M8" i="4"/>
  <c r="F6" i="5" s="1"/>
  <c r="L8" i="4"/>
  <c r="S7" i="4"/>
  <c r="L5" i="5" s="1"/>
  <c r="R7" i="4"/>
  <c r="K5" i="5" s="1"/>
  <c r="O7" i="4"/>
  <c r="H5" i="5" s="1"/>
  <c r="N7" i="4"/>
  <c r="G5" i="5" s="1"/>
  <c r="M7" i="4"/>
  <c r="F5" i="5" s="1"/>
  <c r="L7" i="4"/>
  <c r="S6" i="4"/>
  <c r="L4" i="5" s="1"/>
  <c r="R6" i="4"/>
  <c r="K4" i="5" s="1"/>
  <c r="N6" i="4"/>
  <c r="G4" i="5" s="1"/>
  <c r="M6" i="4"/>
  <c r="F4" i="5" s="1"/>
  <c r="L6" i="4"/>
  <c r="P18" i="4" l="1"/>
  <c r="Q7" i="5" s="1"/>
  <c r="Q10" i="4"/>
  <c r="J8" i="5" s="1"/>
  <c r="P24" i="4"/>
  <c r="Y4" i="5" s="1"/>
  <c r="P11" i="4"/>
  <c r="I9" i="5" s="1"/>
  <c r="P8" i="4"/>
  <c r="I6" i="5" s="1"/>
  <c r="Q29" i="4"/>
  <c r="Z9" i="5" s="1"/>
  <c r="P21" i="4"/>
  <c r="Q10" i="5" s="1"/>
  <c r="E10" i="3"/>
  <c r="Q16" i="4"/>
  <c r="R5" i="5" s="1"/>
  <c r="E8" i="3"/>
  <c r="Q21" i="4"/>
  <c r="R10" i="5" s="1"/>
  <c r="N10" i="6"/>
  <c r="T18" i="4"/>
  <c r="U7" i="5" s="1"/>
  <c r="N6" i="6"/>
  <c r="Q6" i="4"/>
  <c r="J4" i="5" s="1"/>
  <c r="P12" i="4"/>
  <c r="I10" i="5" s="1"/>
  <c r="P27" i="4"/>
  <c r="Y7" i="5" s="1"/>
  <c r="T20" i="4"/>
  <c r="U9" i="5" s="1"/>
  <c r="O25" i="4"/>
  <c r="X5" i="5" s="1"/>
  <c r="N7" i="6"/>
  <c r="Q12" i="4"/>
  <c r="J10" i="5" s="1"/>
  <c r="T24" i="4"/>
  <c r="AC4" i="5" s="1"/>
  <c r="P20" i="4"/>
  <c r="Q9" i="5" s="1"/>
  <c r="O10" i="4"/>
  <c r="H8" i="5" s="1"/>
  <c r="O27" i="4"/>
  <c r="X7" i="5" s="1"/>
  <c r="P9" i="4"/>
  <c r="I7" i="5" s="1"/>
  <c r="N9" i="6"/>
  <c r="P17" i="4"/>
  <c r="Q6" i="5" s="1"/>
  <c r="Q7" i="4"/>
  <c r="J5" i="5" s="1"/>
  <c r="Q25" i="4"/>
  <c r="Z5" i="5" s="1"/>
  <c r="E9" i="3"/>
  <c r="N11" i="6"/>
  <c r="O29" i="4"/>
  <c r="X9" i="5" s="1"/>
  <c r="T9" i="4"/>
  <c r="M7" i="5" s="1"/>
  <c r="Q18" i="4"/>
  <c r="R7" i="5" s="1"/>
  <c r="P29" i="4"/>
  <c r="Y9" i="5" s="1"/>
  <c r="T7" i="4"/>
  <c r="M5" i="5" s="1"/>
  <c r="AG5" i="5" s="1" a="1"/>
  <c r="AG5" i="5" s="1"/>
  <c r="O12" i="4"/>
  <c r="H10" i="5" s="1"/>
  <c r="T16" i="4"/>
  <c r="U5" i="5" s="1"/>
  <c r="O21" i="4"/>
  <c r="P10" i="5" s="1"/>
  <c r="O8" i="4"/>
  <c r="H6" i="5" s="1"/>
  <c r="T12" i="4"/>
  <c r="M10" i="5" s="1"/>
  <c r="O19" i="4"/>
  <c r="P8" i="5" s="1"/>
  <c r="E3" i="3"/>
  <c r="O6" i="4"/>
  <c r="H4" i="5" s="1"/>
  <c r="T25" i="4"/>
  <c r="AC5" i="5" s="1"/>
  <c r="O30" i="4"/>
  <c r="X10" i="5" s="1"/>
  <c r="N12" i="6"/>
  <c r="T10" i="4"/>
  <c r="M8" i="5" s="1"/>
  <c r="O17" i="4"/>
  <c r="P6" i="5" s="1"/>
  <c r="Q19" i="4"/>
  <c r="R8" i="5" s="1"/>
  <c r="P30" i="4"/>
  <c r="Y10" i="5" s="1"/>
  <c r="E4" i="3"/>
  <c r="T29" i="4"/>
  <c r="AC9" i="5" s="1"/>
  <c r="T8" i="4"/>
  <c r="M6" i="5" s="1"/>
  <c r="O15" i="4"/>
  <c r="P4" i="5" s="1"/>
  <c r="E5" i="3"/>
  <c r="T19" i="4"/>
  <c r="U8" i="5" s="1"/>
  <c r="O26" i="4"/>
  <c r="X6" i="5" s="1"/>
  <c r="N8" i="6"/>
  <c r="T6" i="4"/>
  <c r="M4" i="5" s="1"/>
  <c r="O11" i="4"/>
  <c r="H9" i="5" s="1"/>
  <c r="P26" i="4"/>
  <c r="Y6" i="5" s="1"/>
  <c r="E6" i="3"/>
  <c r="T17" i="4"/>
  <c r="U6" i="5" s="1"/>
  <c r="T27" i="4"/>
  <c r="AC7" i="5" s="1"/>
  <c r="T21" i="4"/>
  <c r="U10" i="5" s="1"/>
  <c r="O28" i="4"/>
  <c r="X8" i="5" s="1"/>
  <c r="Q11" i="4"/>
  <c r="J9" i="5" s="1"/>
  <c r="E7" i="3"/>
  <c r="T15" i="4"/>
  <c r="U4" i="5" s="1"/>
  <c r="Q9" i="4"/>
  <c r="J7" i="5" s="1"/>
  <c r="AF5" i="5" l="1" a="1"/>
  <c r="AF5" i="5" s="1"/>
  <c r="AH4" i="5" a="1"/>
  <c r="AH4" i="5" s="1"/>
  <c r="AH6" i="5" a="1"/>
  <c r="AH6" i="5" s="1"/>
  <c r="AH5" i="5" a="1"/>
  <c r="AH5" i="5" s="1"/>
  <c r="AF8" i="5" a="1"/>
  <c r="AF8" i="5" s="1"/>
  <c r="AF4" i="5" a="1"/>
  <c r="AF4" i="5" s="1"/>
  <c r="AH10" i="5" a="1"/>
  <c r="AH10" i="5" s="1"/>
  <c r="AF9" i="5" a="1"/>
  <c r="AF9" i="5" s="1"/>
  <c r="AH7" i="5" a="1"/>
  <c r="AH7" i="5" s="1"/>
  <c r="AG10" i="5" a="1"/>
  <c r="AG10" i="5" s="1"/>
  <c r="AG8" i="5" a="1"/>
  <c r="AG8" i="5" s="1"/>
  <c r="AH9" i="5" a="1"/>
  <c r="AH9" i="5" s="1"/>
  <c r="AG4" i="5" a="1"/>
  <c r="AG4" i="5" s="1"/>
  <c r="AJ4" i="5" s="1" a="1"/>
  <c r="AJ4" i="5" s="1"/>
  <c r="AH8" i="5" a="1"/>
  <c r="AH8" i="5" s="1"/>
  <c r="AJ5" i="5" a="1"/>
  <c r="AJ5" i="5" s="1"/>
  <c r="E11" i="3"/>
  <c r="AF7" i="5" a="1"/>
  <c r="AF7" i="5" s="1"/>
  <c r="AG6" i="5" a="1"/>
  <c r="AG6" i="5" s="1"/>
  <c r="AG7" i="5" a="1"/>
  <c r="AG7" i="5" s="1"/>
  <c r="AG9" i="5" a="1"/>
  <c r="AG9" i="5" s="1"/>
  <c r="AF10" i="5" a="1"/>
  <c r="AF10" i="5" s="1"/>
  <c r="AF6" i="5" a="1"/>
  <c r="AF6" i="5" s="1"/>
  <c r="AJ10" i="5" l="1" a="1"/>
  <c r="AJ10" i="5" s="1"/>
  <c r="AJ6" i="5" a="1"/>
  <c r="AJ6" i="5" s="1"/>
  <c r="AJ9" i="5" a="1"/>
  <c r="AJ9" i="5" s="1"/>
  <c r="AJ8" i="5" a="1"/>
  <c r="AJ8" i="5" s="1"/>
  <c r="AJ7" i="5" a="1"/>
  <c r="AJ7" i="5" s="1"/>
  <c r="B36" i="5" l="1"/>
  <c r="I5" i="6" s="1"/>
  <c r="K18" i="6"/>
  <c r="W10" i="6"/>
  <c r="W12" i="6"/>
  <c r="W5" i="6"/>
  <c r="W7" i="6"/>
  <c r="W9" i="6"/>
  <c r="W11" i="6"/>
  <c r="W6" i="6"/>
  <c r="W8" i="6"/>
</calcChain>
</file>

<file path=xl/sharedStrings.xml><?xml version="1.0" encoding="utf-8"?>
<sst xmlns="http://schemas.openxmlformats.org/spreadsheetml/2006/main" count="416" uniqueCount="177">
  <si>
    <t>Final ROC Ranking</t>
  </si>
  <si>
    <t>Probs</t>
  </si>
  <si>
    <t>P(S1∣S1,S2,S3)</t>
  </si>
  <si>
    <t>P(S2∣S1,S2,S3)</t>
  </si>
  <si>
    <t>P(S3∣S1,S2,S3)</t>
  </si>
  <si>
    <t>Attribute</t>
  </si>
  <si>
    <t>Scale type</t>
  </si>
  <si>
    <t>Worst plausible consequence</t>
  </si>
  <si>
    <t>Best plausible consequence</t>
  </si>
  <si>
    <t>Scale description</t>
  </si>
  <si>
    <t>Achievement of learning outcomes</t>
  </si>
  <si>
    <t>Natural percentage</t>
  </si>
  <si>
    <t>% of students meeting competency targets</t>
  </si>
  <si>
    <t>Completion and progression</t>
  </si>
  <si>
    <t>% of students completing within target time or target+1 year</t>
  </si>
  <si>
    <t>Learner experience and engagement</t>
  </si>
  <si>
    <t>Anchored categorical</t>
  </si>
  <si>
    <t>Very poor</t>
  </si>
  <si>
    <t>Excellent</t>
  </si>
  <si>
    <t>1=Very poor; 2=Poor; 3=Acceptable; 4=Good; 5=Excellent</t>
  </si>
  <si>
    <t>Accessibility flexibility and equity</t>
  </si>
  <si>
    <t>Count / extent</t>
  </si>
  <si>
    <t>Number of learner profiles well supported: 0=None; 1=One; 2=Two; 3=Three; 4=All four</t>
  </si>
  <si>
    <t>Integrity of assessment</t>
  </si>
  <si>
    <t>Fragile</t>
  </si>
  <si>
    <t>Exemplary</t>
  </si>
  <si>
    <t>1=Fragile; 2=Basic; 3=Robust; 4=Exemplary</t>
  </si>
  <si>
    <t>Strategic control / autonomy</t>
  </si>
  <si>
    <t>% of critical learning/assessment/data infrastructure under Aalto or trusted regional control</t>
  </si>
  <si>
    <t>External relevance and employability</t>
  </si>
  <si>
    <t>percentage of graduates in relevant employment or further study within 12 months</t>
  </si>
  <si>
    <t>t-</t>
  </si>
  <si>
    <t>t+</t>
  </si>
  <si>
    <t>t</t>
  </si>
  <si>
    <t>U(x)</t>
  </si>
  <si>
    <t>Global attractiveness / reputation</t>
  </si>
  <si>
    <t>Local</t>
  </si>
  <si>
    <t>Globally distinctive</t>
  </si>
  <si>
    <t>1=Local; 2=National; 3=Nordic-Baltic; 4=European; 5=Globally distinctive</t>
  </si>
  <si>
    <t>x_0</t>
  </si>
  <si>
    <t>x_1</t>
  </si>
  <si>
    <t>p of t-</t>
  </si>
  <si>
    <t>p of t+</t>
  </si>
  <si>
    <t>Poor</t>
  </si>
  <si>
    <t>Acceptable</t>
  </si>
  <si>
    <t>Good</t>
  </si>
  <si>
    <t>Integrity of Assessment</t>
  </si>
  <si>
    <t>Basic</t>
  </si>
  <si>
    <t>Robust</t>
  </si>
  <si>
    <t>Global Attractiveness</t>
  </si>
  <si>
    <t>Attribute swung from worst to best</t>
  </si>
  <si>
    <t>Consequence to compare</t>
  </si>
  <si>
    <t>Rank</t>
  </si>
  <si>
    <t>Wj</t>
  </si>
  <si>
    <t>wj (ROC)</t>
  </si>
  <si>
    <t>(Benchmark)</t>
  </si>
  <si>
    <t>65%,55%,1,0,1,20%,65%,1</t>
  </si>
  <si>
    <t>95%,55%,1,0,1,20%,65%,1</t>
  </si>
  <si>
    <t>65%,90%,1,0,1,20%,65%,1</t>
  </si>
  <si>
    <t>65%,55%,5,0,1,20%,65%,1</t>
  </si>
  <si>
    <t>65%,55%,1,4,1,20%,65%,1</t>
  </si>
  <si>
    <t>65%,55%,1,0,4,20%,65%,1</t>
  </si>
  <si>
    <t>65%,55%,1,0,1,90%,65%,1</t>
  </si>
  <si>
    <t>65%,55%,1,0,1,20%,95%,1</t>
  </si>
  <si>
    <t>65%,55%,1,0,1,20%,65%,5</t>
  </si>
  <si>
    <t>Total</t>
  </si>
  <si>
    <t>Attribute-specific value scores (0-1) linked from elicited value functions</t>
  </si>
  <si>
    <t>Scenario 1: Competitive Global Campus​</t>
  </si>
  <si>
    <t>Scenario 1: Competitive Global Campus - Attribute-specific value scores</t>
  </si>
  <si>
    <t>Action</t>
  </si>
  <si>
    <t>Achievement of learning outcomes (65-95%)</t>
  </si>
  <si>
    <t>Completion and progression (55-90%)</t>
  </si>
  <si>
    <t>Accessibility, flexibility and equity (0-4)</t>
  </si>
  <si>
    <t>Strategic control / autonomy (20-90%)</t>
  </si>
  <si>
    <t>External relevance and employability (65-95%)</t>
  </si>
  <si>
    <t>Global attractiveness / reputation (1-5)</t>
  </si>
  <si>
    <t>AI-Enabled Student Guidance</t>
  </si>
  <si>
    <t>Elite Mentor Network / Smart Work-Study</t>
  </si>
  <si>
    <t>AI Governance Board / Assessment Integrity</t>
  </si>
  <si>
    <t>Aalto-Controlled Core Infrastructure</t>
  </si>
  <si>
    <t>Aalto-Certified Micro-Credentials</t>
  </si>
  <si>
    <t>Pedagogical Training for Staff</t>
  </si>
  <si>
    <t>Nordic-Baltic Tech Alliance</t>
  </si>
  <si>
    <t>Scenario 2: Always-Learning Society</t>
  </si>
  <si>
    <t>Scenario 2: Always-Learning Society - Attribute-specific value scores</t>
  </si>
  <si>
    <t>Scenario 3: Human-First University</t>
  </si>
  <si>
    <t>Scenario 3: Human-First University - Attribute-specific value scores</t>
  </si>
  <si>
    <t>Competitive Global Campus</t>
  </si>
  <si>
    <t>Always-Learning Society</t>
  </si>
  <si>
    <t>Human-First University</t>
  </si>
  <si>
    <t>Actions'  scenario-specific utilities</t>
  </si>
  <si>
    <t>p1</t>
  </si>
  <si>
    <t>p2</t>
  </si>
  <si>
    <t>p3</t>
  </si>
  <si>
    <t>Attribute weights</t>
  </si>
  <si>
    <t>Scenario Probabilities</t>
  </si>
  <si>
    <t>Action Proposals</t>
  </si>
  <si>
    <t>Decision variables</t>
  </si>
  <si>
    <t>Cost (M€)</t>
  </si>
  <si>
    <t>Time (years)</t>
  </si>
  <si>
    <t>Implementation capacity points</t>
  </si>
  <si>
    <t>Category</t>
  </si>
  <si>
    <t>Student Support &amp; AI</t>
  </si>
  <si>
    <t>Work-Integrated Learning</t>
  </si>
  <si>
    <t>Governance &amp; Integrity</t>
  </si>
  <si>
    <t>Digital Infrastructure</t>
  </si>
  <si>
    <t>Flexible Learning Pathways</t>
  </si>
  <si>
    <t>Faculty Capability</t>
  </si>
  <si>
    <t>Partnerships &amp; Reputation</t>
  </si>
  <si>
    <t>Expected portfolio utility</t>
  </si>
  <si>
    <t>Constraint type</t>
  </si>
  <si>
    <t>Expression</t>
  </si>
  <si>
    <t>Limit</t>
  </si>
  <si>
    <t>Budget</t>
  </si>
  <si>
    <t>&lt;=</t>
  </si>
  <si>
    <t>Implementation capacity</t>
  </si>
  <si>
    <t>Number of actions</t>
  </si>
  <si>
    <t>Dependency</t>
  </si>
  <si>
    <t>Balance</t>
  </si>
  <si>
    <t>&gt;=</t>
  </si>
  <si>
    <t>Time</t>
  </si>
  <si>
    <t>Sensitivity Analysis</t>
  </si>
  <si>
    <t>Use this sheet as the rerun log: the Base case row now links directly to the current Portfolio model output. For the other cases, update the case inputs, rerun Solver on Portfolio model, then paste the resulting utility and selected-action text here.</t>
  </si>
  <si>
    <t>Blue/green status cells are formula-driven.</t>
  </si>
  <si>
    <t>Case</t>
  </si>
  <si>
    <t>p1: CGC</t>
  </si>
  <si>
    <t>p2: ALS</t>
  </si>
  <si>
    <t>p3: HFU</t>
  </si>
  <si>
    <t>Budget (M€)</t>
  </si>
  <si>
    <t>Capacity</t>
  </si>
  <si>
    <t>Max actions</t>
  </si>
  <si>
    <t>Time limit</t>
  </si>
  <si>
    <t>Optimal utility</t>
  </si>
  <si>
    <t>Selected actions</t>
  </si>
  <si>
    <t>Budget used</t>
  </si>
  <si>
    <t>Capacity used</t>
  </si>
  <si>
    <t>Time used</t>
  </si>
  <si>
    <t>Portfolio changed?</t>
  </si>
  <si>
    <t>Comment</t>
  </si>
  <si>
    <t>Utility delta vs base</t>
  </si>
  <si>
    <t>How to rerun</t>
  </si>
  <si>
    <t>Base case</t>
  </si>
  <si>
    <t>Base</t>
  </si>
  <si>
    <t>Original model inputs</t>
  </si>
  <si>
    <t>1) Change probabilities / limits on Portfolio model</t>
  </si>
  <si>
    <t>Equal probabilities</t>
  </si>
  <si>
    <t>Elite Mentor Network / Smart Work-Study, Aalto-Controlled Core Infrastructure, Aalto-Certified Micro-Credentials, Pedagogical Training for Staff</t>
  </si>
  <si>
    <t>Tests scenario-probability ambiguity</t>
  </si>
  <si>
    <t>2) Run Data &gt; Solver</t>
  </si>
  <si>
    <t>Scenario 1 favored</t>
  </si>
  <si>
    <t>Tests stronger competitive-global-campus view</t>
  </si>
  <si>
    <t>3) Maximize B36 by changing B29:B35</t>
  </si>
  <si>
    <t>Scenario 3 favored</t>
  </si>
  <si>
    <t>Tests stronger human-first view</t>
  </si>
  <si>
    <t>4) Keep B29:B35 as binary</t>
  </si>
  <si>
    <t>Budget tightened</t>
  </si>
  <si>
    <t>AI-Enabled Student Guidance, Elite Mentor Network / Smart Work-Study, Pedagogical Training for Staff, Nordic-Baltic Tech Alliance</t>
  </si>
  <si>
    <t>Tests tighter resource envelope</t>
  </si>
  <si>
    <t>5) Paste utility in col I</t>
  </si>
  <si>
    <t>Budget relaxed</t>
  </si>
  <si>
    <t>AI-Enabled Student Guidance, Elite Mentor Network / Smart Work-Study, Aalto-Controlled Core Infrastructure, Aalto-Certified Micro-Credentials</t>
  </si>
  <si>
    <t>Tests additional funding flexibility</t>
  </si>
  <si>
    <t>6) Paste selected-action text in col J</t>
  </si>
  <si>
    <t>Capacity tightened</t>
  </si>
  <si>
    <t>Elite Mentor Network / Smart Work-Study, AI Governance Board / Assessment Integrity, Aalto-Controlled Core Infrastructure, Aalto-Certified Micro-Credentials</t>
  </si>
  <si>
    <t>Tests lower implementation bandwidth</t>
  </si>
  <si>
    <t>7) Fill K:M from model outputs</t>
  </si>
  <si>
    <t>Max actions tightened</t>
  </si>
  <si>
    <t>AI-Enabled Student Guidance, Elite Mentor Network / Smart Work-Study, Pedagogical Training for Staff</t>
  </si>
  <si>
    <t>Tests a more focused portfolio</t>
  </si>
  <si>
    <t>Flags in O:U and status update automatically</t>
  </si>
  <si>
    <t>Interpretation</t>
  </si>
  <si>
    <t>Base portfolio</t>
  </si>
  <si>
    <t>If "Portfolio changed?" = No, the recommendation is robust to that one-way change.</t>
  </si>
  <si>
    <t>If it changes, the case reveals a key sensitivity that should be discussed in the report.</t>
  </si>
  <si>
    <t>Base expected portfolio utility</t>
  </si>
  <si>
    <t>Base case now updates directly from Portfolio model. In this workbook, the base portfolio is stable under probability changes, but changes under tighter budget/capacity limits and under a stricter action-count limit.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</si>
</sst>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
    <numFmt numFmtId="165" formatCode="0.0%"/>
    <numFmt numFmtId="166" formatCode="0.0"/>
    <numFmt numFmtId="167" formatCode="0.000"/>
  </numFmts>
  <fonts count="19">
    <font>
      <sz val="11"/>
      <color theme="1"/>
      <name val="Aptos Narrow"/>
      <family val="2"/>
      <charset val="1"/>
    </font>
    <font>
      <sz val="11"/>
      <color theme="1"/>
      <name val="Calibri"/>
      <family val="2"/>
      <charset val="1"/>
    </font>
    <font>
      <sz val="11"/>
      <color rgb="FF000000"/>
      <name val="Calibri"/>
      <family val="2"/>
      <charset val="1"/>
    </font>
    <font>
      <i/>
      <sz val="11"/>
      <color rgb="FF000000"/>
      <name val="Calibri"/>
      <family val="2"/>
      <charset val="1"/>
    </font>
    <font>
      <b/>
      <sz val="11"/>
      <color theme="1"/>
      <name val="Aptos Narrow"/>
      <family val="2"/>
      <charset val="1"/>
    </font>
    <font>
      <sz val="11"/>
      <color rgb="FF000000"/>
      <name val="Aptos Narrow"/>
      <family val="2"/>
      <charset val="1"/>
    </font>
    <font>
      <b/>
      <sz val="12"/>
      <color rgb="FF000000"/>
      <name val="Google Sans Text"/>
      <charset val="1"/>
    </font>
    <font>
      <b/>
      <sz val="11"/>
      <color rgb="FF1F1F1F"/>
      <name val="Google Sans Text"/>
      <family val="2"/>
      <charset val="1"/>
    </font>
    <font>
      <sz val="11"/>
      <color rgb="FF1F1F1F"/>
      <name val="Google Sans Text"/>
      <family val="2"/>
      <charset val="1"/>
    </font>
    <font>
      <b/>
      <sz val="11"/>
      <color rgb="FFFFFFFF"/>
      <name val="Aptos Narrow"/>
      <family val="2"/>
      <charset val="1"/>
    </font>
    <font>
      <b/>
      <sz val="11"/>
      <color rgb="FF1F1F1F"/>
      <name val="Google Sans Text"/>
      <charset val="1"/>
    </font>
    <font>
      <b/>
      <sz val="11"/>
      <color rgb="FF000000"/>
      <name val="Aptos Narrow"/>
      <family val="2"/>
      <charset val="1"/>
    </font>
    <font>
      <sz val="11"/>
      <color rgb="FF1F1F1F"/>
      <name val="Google Sans Text"/>
      <charset val="1"/>
    </font>
    <font>
      <sz val="11"/>
      <color rgb="FF000000"/>
      <name val="Arial"/>
      <family val="2"/>
      <charset val="1"/>
    </font>
    <font>
      <b/>
      <sz val="16"/>
      <name val="Aptos Narrow"/>
      <family val="2"/>
      <charset val="1"/>
    </font>
    <font>
      <i/>
      <sz val="11"/>
      <color rgb="FF666666"/>
      <name val="Calibri"/>
      <family val="2"/>
      <charset val="1"/>
    </font>
    <font>
      <b/>
      <sz val="11"/>
      <color rgb="FFFFFFFF"/>
      <name val="Calibri"/>
      <family val="2"/>
      <charset val="1"/>
    </font>
    <font>
      <sz val="11"/>
      <color rgb="FF0000FF"/>
      <name val="Aptos Narrow"/>
      <family val="2"/>
      <charset val="1"/>
    </font>
    <font>
      <b/>
      <sz val="11"/>
      <name val="Aptos Narrow"/>
      <family val="2"/>
      <charset val="1"/>
    </font>
  </fonts>
  <fills count="21">
    <fill>
      <patternFill patternType="none"/>
    </fill>
    <fill>
      <patternFill patternType="gray125"/>
    </fill>
    <fill>
      <patternFill patternType="solid">
        <fgColor theme="4" tint="0.79989013336588644"/>
        <bgColor rgb="FFC0E6F5"/>
      </patternFill>
    </fill>
    <fill>
      <patternFill patternType="solid">
        <fgColor rgb="FFC0E7F5"/>
        <bgColor rgb="FFC0E6F5"/>
      </patternFill>
    </fill>
    <fill>
      <patternFill patternType="solid">
        <fgColor rgb="FFE2EFDA"/>
        <bgColor rgb="FFE2F0D9"/>
      </patternFill>
    </fill>
    <fill>
      <patternFill patternType="solid">
        <fgColor theme="9" tint="0.79989013336588644"/>
        <bgColor rgb="FFDAF2D0"/>
      </patternFill>
    </fill>
    <fill>
      <patternFill patternType="solid">
        <fgColor theme="0" tint="-0.249977111117893"/>
        <bgColor rgb="FFC9C9C9"/>
      </patternFill>
    </fill>
    <fill>
      <patternFill patternType="solid">
        <fgColor theme="0" tint="-4.9989318521683403E-2"/>
        <bgColor rgb="FFEEEAF6"/>
      </patternFill>
    </fill>
    <fill>
      <patternFill patternType="solid">
        <fgColor theme="0"/>
        <bgColor rgb="FFF2F2F2"/>
      </patternFill>
    </fill>
    <fill>
      <patternFill patternType="solid">
        <fgColor rgb="FFC0E6F5"/>
        <bgColor rgb="FFC0E7F5"/>
      </patternFill>
    </fill>
    <fill>
      <patternFill patternType="solid">
        <fgColor rgb="FFDAF2D0"/>
        <bgColor rgb="FFD9F2D0"/>
      </patternFill>
    </fill>
    <fill>
      <patternFill patternType="solid">
        <fgColor rgb="FF215C98"/>
        <bgColor rgb="FF156082"/>
      </patternFill>
    </fill>
    <fill>
      <patternFill patternType="solid">
        <fgColor rgb="FFA6C9EC"/>
        <bgColor rgb="FFBFBFBF"/>
      </patternFill>
    </fill>
    <fill>
      <patternFill patternType="solid">
        <fgColor rgb="FFD9D9D9"/>
        <bgColor rgb="FFD9EAD3"/>
      </patternFill>
    </fill>
    <fill>
      <patternFill patternType="solid">
        <fgColor theme="2"/>
        <bgColor rgb="FFEEEAF6"/>
      </patternFill>
    </fill>
    <fill>
      <patternFill patternType="solid">
        <fgColor rgb="FFE49EDD"/>
        <bgColor rgb="FFBFBFBF"/>
      </patternFill>
    </fill>
    <fill>
      <patternFill patternType="solid">
        <fgColor rgb="FF1F4E78"/>
        <bgColor rgb="FF215C98"/>
      </patternFill>
    </fill>
    <fill>
      <patternFill patternType="solid">
        <fgColor rgb="FFD9EAF7"/>
        <bgColor rgb="FFE8E8E8"/>
      </patternFill>
    </fill>
    <fill>
      <patternFill patternType="solid">
        <fgColor rgb="FFEEEAF6"/>
        <bgColor rgb="FFE8E8E8"/>
      </patternFill>
    </fill>
    <fill>
      <patternFill patternType="solid">
        <fgColor rgb="FFE2F0D9"/>
        <bgColor rgb="FFE2EFDA"/>
      </patternFill>
    </fill>
    <fill>
      <patternFill patternType="solid">
        <fgColor theme="9" tint="0.59987182226020086"/>
        <bgColor rgb="FFD9EAD3"/>
      </patternFill>
    </fill>
  </fills>
  <borders count="36">
    <border>
      <left/>
      <right/>
      <top/>
      <bottom/>
      <diagonal/>
    </border>
    <border>
      <left style="thin">
        <color auto="1"/>
      </left>
      <right style="thin">
        <color auto="1"/>
      </right>
      <top style="thin">
        <color auto="1"/>
      </top>
      <bottom style="thin">
        <color auto="1"/>
      </bottom>
      <diagonal/>
    </border>
    <border>
      <left style="thin">
        <color theme="4" tint="0.39988402966399123"/>
      </left>
      <right/>
      <top style="thin">
        <color theme="4" tint="0.39988402966399123"/>
      </top>
      <bottom style="thin">
        <color theme="4" tint="0.39988402966399123"/>
      </bottom>
      <diagonal/>
    </border>
    <border>
      <left/>
      <right/>
      <top style="thin">
        <color theme="4" tint="0.39988402966399123"/>
      </top>
      <bottom style="thin">
        <color theme="4" tint="0.39988402966399123"/>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theme="4" tint="0.39988402966399123"/>
      </left>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bottom/>
      <diagonal/>
    </border>
    <border>
      <left style="medium">
        <color auto="1"/>
      </left>
      <right/>
      <top/>
      <bottom/>
      <diagonal/>
    </border>
    <border>
      <left style="medium">
        <color auto="1"/>
      </left>
      <right/>
      <top/>
      <bottom style="medium">
        <color auto="1"/>
      </bottom>
      <diagonal/>
    </border>
    <border>
      <left/>
      <right style="medium">
        <color auto="1"/>
      </right>
      <top/>
      <bottom style="medium">
        <color auto="1"/>
      </bottom>
      <diagonal/>
    </border>
    <border>
      <left/>
      <right/>
      <top/>
      <bottom style="medium">
        <color auto="1"/>
      </bottom>
      <diagonal/>
    </border>
    <border>
      <left style="medium">
        <color auto="1"/>
      </left>
      <right style="medium">
        <color auto="1"/>
      </right>
      <top/>
      <bottom/>
      <diagonal/>
    </border>
    <border>
      <left style="thin">
        <color rgb="FF1F1F1F"/>
      </left>
      <right style="thin">
        <color rgb="FF1F1F1F"/>
      </right>
      <top style="thin">
        <color rgb="FF1F1F1F"/>
      </top>
      <bottom style="thin">
        <color rgb="FF1F1F1F"/>
      </bottom>
      <diagonal/>
    </border>
    <border>
      <left/>
      <right style="thin">
        <color rgb="FF1F1F1F"/>
      </right>
      <top style="thin">
        <color rgb="FF1F1F1F"/>
      </top>
      <bottom style="thin">
        <color rgb="FF1F1F1F"/>
      </bottom>
      <diagonal/>
    </border>
    <border>
      <left style="thin">
        <color rgb="FF1F1F1F"/>
      </left>
      <right style="thin">
        <color rgb="FF1F1F1F"/>
      </right>
      <top/>
      <bottom style="thin">
        <color rgb="FF1F1F1F"/>
      </bottom>
      <diagonal/>
    </border>
    <border>
      <left/>
      <right style="thin">
        <color rgb="FF1F1F1F"/>
      </right>
      <top/>
      <bottom style="thin">
        <color rgb="FF1F1F1F"/>
      </bottom>
      <diagonal/>
    </border>
    <border>
      <left style="thin">
        <color rgb="FF44B3E1"/>
      </left>
      <right/>
      <top/>
      <bottom style="thin">
        <color auto="1"/>
      </bottom>
      <diagonal/>
    </border>
    <border>
      <left style="medium">
        <color auto="1"/>
      </left>
      <right style="medium">
        <color auto="1"/>
      </right>
      <top style="medium">
        <color auto="1"/>
      </top>
      <bottom style="thin">
        <color rgb="FF1F1F1F"/>
      </bottom>
      <diagonal/>
    </border>
    <border>
      <left style="medium">
        <color auto="1"/>
      </left>
      <right/>
      <top/>
      <bottom style="thin">
        <color rgb="FF1F1F1F"/>
      </bottom>
      <diagonal/>
    </border>
    <border>
      <left/>
      <right/>
      <top/>
      <bottom style="thin">
        <color rgb="FF1F1F1F"/>
      </bottom>
      <diagonal/>
    </border>
    <border>
      <left style="thin">
        <color rgb="FF808080"/>
      </left>
      <right style="thin">
        <color rgb="FF808080"/>
      </right>
      <top style="thin">
        <color rgb="FF808080"/>
      </top>
      <bottom style="thin">
        <color rgb="FF808080"/>
      </bottom>
      <diagonal/>
    </border>
    <border>
      <left style="thin">
        <color rgb="FFC9C9C9"/>
      </left>
      <right style="thin">
        <color rgb="FFC9C9C9"/>
      </right>
      <top style="thin">
        <color rgb="FFC9C9C9"/>
      </top>
      <bottom style="thin">
        <color rgb="FFC9C9C9"/>
      </bottom>
      <diagonal/>
    </border>
  </borders>
  <cellStyleXfs count="1">
    <xf numFmtId="0" fontId="0" fillId="0" borderId="0"/>
  </cellStyleXfs>
  <cellXfs count="134">
    <xf numFmtId="0" fontId="0" fillId="0" borderId="0" xfId="0"/>
    <xf numFmtId="0" fontId="0" fillId="17" borderId="35" xfId="0" applyFill="1" applyBorder="1" applyAlignment="1">
      <alignment vertical="top" wrapText="1"/>
    </xf>
    <xf numFmtId="0" fontId="16" fillId="16" borderId="35" xfId="0" applyFont="1" applyFill="1" applyBorder="1" applyAlignment="1">
      <alignment horizontal="center" vertical="center"/>
    </xf>
    <xf numFmtId="0" fontId="9" fillId="11" borderId="0" xfId="0" applyFont="1" applyFill="1" applyAlignment="1">
      <alignment horizontal="center" wrapText="1"/>
    </xf>
    <xf numFmtId="0" fontId="0" fillId="0" borderId="33" xfId="0" applyBorder="1" applyAlignment="1">
      <alignment horizontal="center"/>
    </xf>
    <xf numFmtId="0" fontId="0" fillId="0" borderId="32" xfId="0" applyBorder="1" applyAlignment="1">
      <alignment horizontal="center"/>
    </xf>
    <xf numFmtId="0" fontId="1" fillId="0" borderId="31" xfId="0" applyFont="1" applyBorder="1" applyAlignment="1">
      <alignment horizontal="center"/>
    </xf>
    <xf numFmtId="0" fontId="2" fillId="2" borderId="0" xfId="0" applyFont="1" applyFill="1" applyAlignment="1">
      <alignment horizontal="center"/>
    </xf>
    <xf numFmtId="0" fontId="2" fillId="2" borderId="4" xfId="0" applyFont="1" applyFill="1" applyBorder="1" applyAlignment="1">
      <alignment horizontal="center"/>
    </xf>
    <xf numFmtId="0" fontId="1" fillId="3" borderId="13" xfId="0" applyFont="1" applyFill="1" applyBorder="1" applyAlignment="1">
      <alignment horizontal="center"/>
    </xf>
    <xf numFmtId="0" fontId="2" fillId="3" borderId="4" xfId="0" applyFont="1" applyFill="1" applyBorder="1" applyAlignment="1">
      <alignment horizontal="center"/>
    </xf>
    <xf numFmtId="0" fontId="1" fillId="0" borderId="1" xfId="0" applyFont="1" applyBorder="1" applyAlignment="1">
      <alignment horizontal="center"/>
    </xf>
    <xf numFmtId="0" fontId="6" fillId="0" borderId="25" xfId="0" applyFont="1" applyBorder="1"/>
    <xf numFmtId="0" fontId="6" fillId="0" borderId="1" xfId="0" applyFont="1" applyBorder="1"/>
    <xf numFmtId="0" fontId="1" fillId="0" borderId="1" xfId="0" applyFont="1" applyBorder="1"/>
    <xf numFmtId="0" fontId="1" fillId="0" borderId="0" xfId="0" applyFont="1"/>
    <xf numFmtId="0" fontId="0" fillId="2" borderId="2" xfId="0" applyFill="1" applyBorder="1"/>
    <xf numFmtId="9" fontId="0" fillId="2" borderId="3" xfId="0" applyNumberFormat="1" applyFill="1" applyBorder="1"/>
    <xf numFmtId="0" fontId="1" fillId="0" borderId="0" xfId="0" applyFont="1" applyAlignment="1">
      <alignment horizontal="right"/>
    </xf>
    <xf numFmtId="0" fontId="0" fillId="0" borderId="2" xfId="0" applyBorder="1"/>
    <xf numFmtId="9" fontId="0" fillId="0" borderId="3" xfId="0" applyNumberFormat="1" applyBorder="1"/>
    <xf numFmtId="0" fontId="2" fillId="0" borderId="0" xfId="0" applyFont="1"/>
    <xf numFmtId="0" fontId="2" fillId="0" borderId="5" xfId="0" applyFont="1" applyBorder="1"/>
    <xf numFmtId="0" fontId="2" fillId="0" borderId="6" xfId="0" applyFont="1" applyBorder="1"/>
    <xf numFmtId="0" fontId="2" fillId="0" borderId="7" xfId="0" applyFont="1" applyBorder="1"/>
    <xf numFmtId="0" fontId="2" fillId="0" borderId="1" xfId="0" applyFont="1" applyBorder="1"/>
    <xf numFmtId="9" fontId="2" fillId="0" borderId="8" xfId="0" applyNumberFormat="1" applyFont="1" applyBorder="1"/>
    <xf numFmtId="9" fontId="2" fillId="0" borderId="0" xfId="0" applyNumberFormat="1" applyFont="1"/>
    <xf numFmtId="9" fontId="2" fillId="4" borderId="9" xfId="0" applyNumberFormat="1" applyFont="1" applyFill="1" applyBorder="1"/>
    <xf numFmtId="9" fontId="0" fillId="0" borderId="1" xfId="0" applyNumberFormat="1" applyBorder="1"/>
    <xf numFmtId="9" fontId="2" fillId="0" borderId="10" xfId="0" applyNumberFormat="1" applyFont="1" applyBorder="1"/>
    <xf numFmtId="0" fontId="3" fillId="0" borderId="5" xfId="0" applyFont="1" applyBorder="1"/>
    <xf numFmtId="9" fontId="2" fillId="4" borderId="7" xfId="0" applyNumberFormat="1" applyFont="1" applyFill="1" applyBorder="1"/>
    <xf numFmtId="0" fontId="2" fillId="0" borderId="10" xfId="0" applyFont="1" applyBorder="1"/>
    <xf numFmtId="9" fontId="2" fillId="4" borderId="11" xfId="0" applyNumberFormat="1" applyFont="1" applyFill="1" applyBorder="1"/>
    <xf numFmtId="9" fontId="2" fillId="4" borderId="12" xfId="0" applyNumberFormat="1" applyFont="1" applyFill="1" applyBorder="1"/>
    <xf numFmtId="0" fontId="2" fillId="0" borderId="8" xfId="0" applyFont="1" applyBorder="1"/>
    <xf numFmtId="0" fontId="2" fillId="0" borderId="9" xfId="0" applyFont="1" applyBorder="1"/>
    <xf numFmtId="9" fontId="2" fillId="5" borderId="1" xfId="0" applyNumberFormat="1" applyFont="1" applyFill="1" applyBorder="1"/>
    <xf numFmtId="9" fontId="2" fillId="5" borderId="9" xfId="0" applyNumberFormat="1" applyFont="1" applyFill="1" applyBorder="1"/>
    <xf numFmtId="9" fontId="0" fillId="0" borderId="0" xfId="0" applyNumberFormat="1"/>
    <xf numFmtId="9" fontId="2" fillId="5" borderId="7" xfId="0" applyNumberFormat="1" applyFont="1" applyFill="1" applyBorder="1"/>
    <xf numFmtId="0" fontId="2" fillId="0" borderId="4" xfId="0" applyFont="1" applyBorder="1"/>
    <xf numFmtId="0" fontId="2" fillId="0" borderId="5" xfId="0" applyFont="1" applyBorder="1" applyAlignment="1">
      <alignment horizontal="center"/>
    </xf>
    <xf numFmtId="0" fontId="0" fillId="0" borderId="6" xfId="0" applyBorder="1" applyAlignment="1">
      <alignment horizontal="center"/>
    </xf>
    <xf numFmtId="0" fontId="2" fillId="0" borderId="7" xfId="0" applyFont="1" applyBorder="1" applyAlignment="1">
      <alignment horizontal="center"/>
    </xf>
    <xf numFmtId="0" fontId="0" fillId="0" borderId="8" xfId="0" applyBorder="1" applyAlignment="1">
      <alignment horizontal="center"/>
    </xf>
    <xf numFmtId="0" fontId="0" fillId="0" borderId="0" xfId="0" applyAlignment="1">
      <alignment horizontal="center"/>
    </xf>
    <xf numFmtId="0" fontId="0" fillId="0" borderId="9" xfId="0" applyBorder="1" applyAlignment="1">
      <alignment horizontal="center"/>
    </xf>
    <xf numFmtId="0" fontId="2" fillId="0" borderId="8" xfId="0" applyFont="1" applyBorder="1" applyAlignment="1">
      <alignment horizontal="center"/>
    </xf>
    <xf numFmtId="0" fontId="0" fillId="5" borderId="0" xfId="0" applyFill="1" applyAlignment="1">
      <alignment horizontal="center"/>
    </xf>
    <xf numFmtId="0" fontId="2" fillId="0" borderId="9" xfId="0" applyFont="1" applyBorder="1" applyAlignment="1">
      <alignment horizontal="center"/>
    </xf>
    <xf numFmtId="0" fontId="2" fillId="0" borderId="10" xfId="0" applyFont="1" applyBorder="1" applyAlignment="1">
      <alignment horizontal="center"/>
    </xf>
    <xf numFmtId="0" fontId="0" fillId="0" borderId="4" xfId="0" applyBorder="1" applyAlignment="1">
      <alignment horizontal="center"/>
    </xf>
    <xf numFmtId="0" fontId="2" fillId="0" borderId="11" xfId="0" applyFont="1" applyBorder="1" applyAlignment="1">
      <alignment horizontal="center"/>
    </xf>
    <xf numFmtId="9" fontId="1" fillId="0" borderId="0" xfId="0" applyNumberFormat="1" applyFont="1"/>
    <xf numFmtId="9" fontId="1" fillId="0" borderId="0" xfId="0" applyNumberFormat="1" applyFont="1" applyAlignment="1">
      <alignment horizontal="right"/>
    </xf>
    <xf numFmtId="0" fontId="4" fillId="6" borderId="14" xfId="0" applyFont="1" applyFill="1" applyBorder="1"/>
    <xf numFmtId="0" fontId="4" fillId="6" borderId="15" xfId="0" applyFont="1" applyFill="1" applyBorder="1" applyAlignment="1">
      <alignment horizontal="center" vertical="center"/>
    </xf>
    <xf numFmtId="0" fontId="4" fillId="6" borderId="16" xfId="0" applyFont="1" applyFill="1" applyBorder="1" applyAlignment="1">
      <alignment horizontal="center" vertical="center"/>
    </xf>
    <xf numFmtId="0" fontId="0" fillId="7" borderId="14" xfId="0" applyFill="1" applyBorder="1"/>
    <xf numFmtId="0" fontId="0" fillId="7" borderId="15" xfId="0" applyFill="1" applyBorder="1" applyAlignment="1">
      <alignment horizontal="center" vertical="center"/>
    </xf>
    <xf numFmtId="0" fontId="0" fillId="7" borderId="17" xfId="0" applyFill="1" applyBorder="1" applyAlignment="1">
      <alignment horizontal="center" vertical="center"/>
    </xf>
    <xf numFmtId="0" fontId="0" fillId="7" borderId="18" xfId="0" applyFill="1" applyBorder="1" applyAlignment="1">
      <alignment horizontal="center" vertical="center"/>
    </xf>
    <xf numFmtId="2" fontId="0" fillId="0" borderId="19" xfId="0" applyNumberFormat="1" applyBorder="1"/>
    <xf numFmtId="0" fontId="0" fillId="8" borderId="14" xfId="0" applyFill="1" applyBorder="1"/>
    <xf numFmtId="0" fontId="0" fillId="8" borderId="16" xfId="0" applyFill="1" applyBorder="1" applyAlignment="1">
      <alignment horizontal="center" vertical="center"/>
    </xf>
    <xf numFmtId="0" fontId="0" fillId="5" borderId="0" xfId="0" applyFill="1" applyAlignment="1">
      <alignment horizontal="center" vertical="center"/>
    </xf>
    <xf numFmtId="2" fontId="0" fillId="0" borderId="20" xfId="0" applyNumberFormat="1" applyBorder="1" applyAlignment="1">
      <alignment horizontal="center" vertical="center"/>
    </xf>
    <xf numFmtId="0" fontId="0" fillId="8" borderId="21" xfId="0" applyFill="1" applyBorder="1"/>
    <xf numFmtId="0" fontId="0" fillId="8" borderId="20" xfId="0" applyFill="1" applyBorder="1" applyAlignment="1">
      <alignment horizontal="center" vertical="center"/>
    </xf>
    <xf numFmtId="0" fontId="0" fillId="8" borderId="22" xfId="0" applyFill="1" applyBorder="1"/>
    <xf numFmtId="0" fontId="0" fillId="8" borderId="23" xfId="0" applyFill="1" applyBorder="1" applyAlignment="1">
      <alignment horizontal="center" vertical="center"/>
    </xf>
    <xf numFmtId="0" fontId="0" fillId="0" borderId="22" xfId="0" applyBorder="1"/>
    <xf numFmtId="0" fontId="0" fillId="0" borderId="24" xfId="0" applyBorder="1" applyAlignment="1">
      <alignment horizontal="center" vertical="center"/>
    </xf>
    <xf numFmtId="0" fontId="0" fillId="0" borderId="17" xfId="0" applyBorder="1" applyAlignment="1">
      <alignment horizontal="center" vertical="center"/>
    </xf>
    <xf numFmtId="2" fontId="0" fillId="0" borderId="18" xfId="0" applyNumberFormat="1" applyBorder="1" applyAlignment="1">
      <alignment horizontal="center" vertical="center"/>
    </xf>
    <xf numFmtId="0" fontId="5" fillId="0" borderId="0" xfId="0" applyFont="1"/>
    <xf numFmtId="0" fontId="6" fillId="0" borderId="0" xfId="0" applyFont="1"/>
    <xf numFmtId="0" fontId="7" fillId="0" borderId="12" xfId="0" applyFont="1" applyBorder="1" applyAlignment="1">
      <alignment readingOrder="1"/>
    </xf>
    <xf numFmtId="0" fontId="7" fillId="0" borderId="11" xfId="0" applyFont="1" applyBorder="1" applyAlignment="1">
      <alignment readingOrder="1"/>
    </xf>
    <xf numFmtId="9" fontId="8" fillId="0" borderId="11" xfId="0" applyNumberFormat="1" applyFont="1" applyBorder="1" applyAlignment="1">
      <alignment readingOrder="1"/>
    </xf>
    <xf numFmtId="0" fontId="8" fillId="0" borderId="11" xfId="0" applyFont="1" applyBorder="1" applyAlignment="1">
      <alignment readingOrder="1"/>
    </xf>
    <xf numFmtId="164" fontId="8" fillId="0" borderId="11" xfId="0" applyNumberFormat="1" applyFont="1" applyBorder="1" applyAlignment="1">
      <alignment readingOrder="1"/>
    </xf>
    <xf numFmtId="0" fontId="7" fillId="0" borderId="26" xfId="0" applyFont="1" applyBorder="1" applyAlignment="1">
      <alignment readingOrder="1"/>
    </xf>
    <xf numFmtId="0" fontId="7" fillId="0" borderId="27" xfId="0" applyFont="1" applyBorder="1" applyAlignment="1">
      <alignment readingOrder="1"/>
    </xf>
    <xf numFmtId="0" fontId="7" fillId="0" borderId="28" xfId="0" applyFont="1" applyBorder="1" applyAlignment="1">
      <alignment readingOrder="1"/>
    </xf>
    <xf numFmtId="9" fontId="8" fillId="0" borderId="29" xfId="0" applyNumberFormat="1" applyFont="1" applyBorder="1" applyAlignment="1">
      <alignment readingOrder="1"/>
    </xf>
    <xf numFmtId="0" fontId="8" fillId="0" borderId="29" xfId="0" applyFont="1" applyBorder="1" applyAlignment="1">
      <alignment readingOrder="1"/>
    </xf>
    <xf numFmtId="164" fontId="8" fillId="0" borderId="29" xfId="0" applyNumberFormat="1" applyFont="1" applyBorder="1" applyAlignment="1">
      <alignment readingOrder="1"/>
    </xf>
    <xf numFmtId="0" fontId="2" fillId="9" borderId="4" xfId="0" applyFont="1" applyFill="1" applyBorder="1"/>
    <xf numFmtId="0" fontId="5" fillId="0" borderId="6" xfId="0" applyFont="1" applyBorder="1"/>
    <xf numFmtId="0" fontId="5" fillId="0" borderId="8" xfId="0" applyFont="1" applyBorder="1"/>
    <xf numFmtId="0" fontId="5" fillId="0" borderId="9" xfId="0" applyFont="1" applyBorder="1"/>
    <xf numFmtId="0" fontId="5" fillId="10" borderId="0" xfId="0" applyFont="1" applyFill="1"/>
    <xf numFmtId="0" fontId="5" fillId="0" borderId="4" xfId="0" applyFont="1" applyBorder="1"/>
    <xf numFmtId="0" fontId="2" fillId="0" borderId="11" xfId="0" applyFont="1" applyBorder="1"/>
    <xf numFmtId="0" fontId="2" fillId="9" borderId="0" xfId="0" applyFont="1" applyFill="1"/>
    <xf numFmtId="0" fontId="2" fillId="3" borderId="30" xfId="0" applyFont="1" applyFill="1" applyBorder="1"/>
    <xf numFmtId="9" fontId="2" fillId="10" borderId="9" xfId="0" applyNumberFormat="1" applyFont="1" applyFill="1" applyBorder="1"/>
    <xf numFmtId="9" fontId="2" fillId="10" borderId="7" xfId="0" applyNumberFormat="1" applyFont="1" applyFill="1" applyBorder="1"/>
    <xf numFmtId="9" fontId="2" fillId="10" borderId="1" xfId="0" applyNumberFormat="1" applyFont="1" applyFill="1" applyBorder="1"/>
    <xf numFmtId="0" fontId="10" fillId="0" borderId="26" xfId="0" applyFont="1" applyBorder="1" applyAlignment="1">
      <alignment readingOrder="1"/>
    </xf>
    <xf numFmtId="0" fontId="11" fillId="12" borderId="0" xfId="0" applyFont="1" applyFill="1" applyAlignment="1">
      <alignment wrapText="1"/>
    </xf>
    <xf numFmtId="164" fontId="12" fillId="0" borderId="26" xfId="0" applyNumberFormat="1" applyFont="1" applyBorder="1" applyAlignment="1">
      <alignment readingOrder="1"/>
    </xf>
    <xf numFmtId="0" fontId="11" fillId="13" borderId="0" xfId="0" applyFont="1" applyFill="1"/>
    <xf numFmtId="0" fontId="0" fillId="8" borderId="1" xfId="0" applyFill="1" applyBorder="1"/>
    <xf numFmtId="0" fontId="0" fillId="0" borderId="1" xfId="0" applyBorder="1"/>
    <xf numFmtId="0" fontId="4" fillId="14" borderId="1" xfId="0" applyFont="1" applyFill="1" applyBorder="1"/>
    <xf numFmtId="0" fontId="13" fillId="0" borderId="0" xfId="0" applyFont="1"/>
    <xf numFmtId="0" fontId="10" fillId="0" borderId="1" xfId="0" applyFont="1" applyBorder="1" applyAlignment="1">
      <alignment readingOrder="1"/>
    </xf>
    <xf numFmtId="0" fontId="12" fillId="0" borderId="1" xfId="0" applyFont="1" applyBorder="1" applyAlignment="1">
      <alignment readingOrder="1"/>
    </xf>
    <xf numFmtId="0" fontId="5" fillId="0" borderId="1" xfId="0" applyFont="1" applyBorder="1"/>
    <xf numFmtId="0" fontId="11" fillId="15" borderId="1" xfId="0" applyFont="1" applyFill="1" applyBorder="1"/>
    <xf numFmtId="0" fontId="4" fillId="0" borderId="1" xfId="0" applyFont="1" applyBorder="1"/>
    <xf numFmtId="0" fontId="14" fillId="0" borderId="0" xfId="0" applyFont="1"/>
    <xf numFmtId="0" fontId="0" fillId="0" borderId="0" xfId="0" applyAlignment="1">
      <alignment wrapText="1"/>
    </xf>
    <xf numFmtId="0" fontId="15" fillId="0" borderId="0" xfId="0" applyFont="1" applyAlignment="1">
      <alignment wrapText="1"/>
    </xf>
    <xf numFmtId="0" fontId="9" fillId="16" borderId="34" xfId="0" applyFont="1" applyFill="1" applyBorder="1" applyAlignment="1">
      <alignment horizontal="center" vertical="center" wrapText="1"/>
    </xf>
    <xf numFmtId="0" fontId="0" fillId="0" borderId="34" xfId="0" applyBorder="1"/>
    <xf numFmtId="165" fontId="17" fillId="17" borderId="34" xfId="0" applyNumberFormat="1" applyFont="1" applyFill="1" applyBorder="1"/>
    <xf numFmtId="2" fontId="17" fillId="17" borderId="34" xfId="0" applyNumberFormat="1" applyFont="1" applyFill="1" applyBorder="1"/>
    <xf numFmtId="1" fontId="17" fillId="17" borderId="34" xfId="0" applyNumberFormat="1" applyFont="1" applyFill="1" applyBorder="1"/>
    <xf numFmtId="166" fontId="17" fillId="17" borderId="34" xfId="0" applyNumberFormat="1" applyFont="1" applyFill="1" applyBorder="1"/>
    <xf numFmtId="2" fontId="0" fillId="18" borderId="34" xfId="0" applyNumberFormat="1" applyFill="1" applyBorder="1"/>
    <xf numFmtId="0" fontId="0" fillId="18" borderId="34" xfId="0" applyFill="1" applyBorder="1" applyAlignment="1">
      <alignment vertical="top" wrapText="1"/>
    </xf>
    <xf numFmtId="1" fontId="0" fillId="18" borderId="34" xfId="0" applyNumberFormat="1" applyFill="1" applyBorder="1"/>
    <xf numFmtId="0" fontId="0" fillId="19" borderId="34" xfId="0" applyFill="1" applyBorder="1" applyAlignment="1">
      <alignment horizontal="center"/>
    </xf>
    <xf numFmtId="0" fontId="0" fillId="0" borderId="34" xfId="0" applyBorder="1" applyAlignment="1">
      <alignment wrapText="1"/>
    </xf>
    <xf numFmtId="2" fontId="0" fillId="18" borderId="34" xfId="0" applyNumberFormat="1" applyFill="1" applyBorder="1" applyAlignment="1">
      <alignment horizontal="center"/>
    </xf>
    <xf numFmtId="0" fontId="18" fillId="0" borderId="0" xfId="0" applyFont="1"/>
    <xf numFmtId="0" fontId="18" fillId="0" borderId="1" xfId="0" applyFont="1" applyBorder="1"/>
    <xf numFmtId="0" fontId="0" fillId="0" borderId="1" xfId="0" applyBorder="1" applyAlignment="1">
      <alignment wrapText="1"/>
    </xf>
    <xf numFmtId="167" fontId="0" fillId="20" borderId="1" xfId="0" applyNumberFormat="1" applyFill="1" applyBorder="1"/>
  </cellXfs>
  <cellStyles count="1">
    <cellStyle name="Normal" xfId="0" builtinId="0"/>
  </cellStyles>
  <dxfs count="5">
    <dxf>
      <fill>
        <patternFill>
          <bgColor rgb="FFFCE4D6"/>
        </patternFill>
      </fill>
    </dxf>
    <dxf>
      <fill>
        <patternFill>
          <bgColor rgb="FFE2F0D9"/>
        </patternFill>
      </fill>
    </dxf>
    <dxf>
      <fill>
        <patternFill>
          <bgColor rgb="FFD9EAD3"/>
        </patternFill>
      </fill>
    </dxf>
    <dxf>
      <fill>
        <patternFill>
          <bgColor rgb="FFE2F0D9"/>
        </patternFill>
      </fill>
    </dxf>
    <dxf>
      <fill>
        <patternFill>
          <bgColor rgb="FFFCE4D6"/>
        </patternFill>
      </fill>
    </dxf>
  </dxfs>
  <tableStyles count="0" defaultTableStyle="TableStyleMedium2" defaultPivotStyle="PivotStyleLight16"/>
  <colors>
    <indexedColors>
      <rgbColor rgb="FF000000"/>
      <rgbColor rgb="FFFFFFFF"/>
      <rgbColor rgb="FFFF0000"/>
      <rgbColor rgb="FF00FF00"/>
      <rgbColor rgb="FF0000FF"/>
      <rgbColor rgb="FFDAF2D0"/>
      <rgbColor rgb="FFFF00FF"/>
      <rgbColor rgb="FF00FFFF"/>
      <rgbColor rgb="FF800000"/>
      <rgbColor rgb="FF008000"/>
      <rgbColor rgb="FF000080"/>
      <rgbColor rgb="FF808000"/>
      <rgbColor rgb="FF800080"/>
      <rgbColor rgb="FF156082"/>
      <rgbColor rgb="FFBFBFBF"/>
      <rgbColor rgb="FF808080"/>
      <rgbColor rgb="FFC1E5F5"/>
      <rgbColor rgb="FF595959"/>
      <rgbColor rgb="FFF2F2F2"/>
      <rgbColor rgb="FFD9EAF7"/>
      <rgbColor rgb="FF660066"/>
      <rgbColor rgb="FFE8E8E8"/>
      <rgbColor rgb="FF215C98"/>
      <rgbColor rgb="FFD9D9D9"/>
      <rgbColor rgb="FF000080"/>
      <rgbColor rgb="FFFF00FF"/>
      <rgbColor rgb="FFD9EAD3"/>
      <rgbColor rgb="FF00FFFF"/>
      <rgbColor rgb="FF800080"/>
      <rgbColor rgb="FF800000"/>
      <rgbColor rgb="F0156082"/>
      <rgbColor rgb="FF0000FF"/>
      <rgbColor rgb="FF46B1E1"/>
      <rgbColor rgb="FFC0E7F5"/>
      <rgbColor rgb="FFD9F2D0"/>
      <rgbColor rgb="FFE2F0D9"/>
      <rgbColor rgb="FFA6C9EC"/>
      <rgbColor rgb="FFE49EDD"/>
      <rgbColor rgb="FFC9C9C9"/>
      <rgbColor rgb="FFFCE4D6"/>
      <rgbColor rgb="FF3366FF"/>
      <rgbColor rgb="FF44B3E1"/>
      <rgbColor rgb="FFB4E5A2"/>
      <rgbColor rgb="FFE2EFDA"/>
      <rgbColor rgb="FFEEEAF6"/>
      <rgbColor rgb="FFFF6600"/>
      <rgbColor rgb="FF666666"/>
      <rgbColor rgb="FFC0E6F5"/>
      <rgbColor rgb="FF003366"/>
      <rgbColor rgb="FF339966"/>
      <rgbColor rgb="FF003300"/>
      <rgbColor rgb="FF1F1F1F"/>
      <rgbColor rgb="FF993300"/>
      <rgbColor rgb="FF993366"/>
      <rgbColor rgb="FF1F4E78"/>
      <rgbColor rgb="FF3A3A3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400" b="1" u="none" strike="noStrike">
                <a:solidFill>
                  <a:srgbClr val="595959"/>
                </a:solidFill>
                <a:uFillTx/>
                <a:latin typeface="Aptos Narrow"/>
              </a:rPr>
              <a:t>Learner experience and engagement </a:t>
            </a:r>
            <a:r>
              <a:rPr lang="en-US" sz="1400" b="1" u="none" strike="noStrike">
                <a:solidFill>
                  <a:srgbClr val="3A3A3A"/>
                </a:solidFill>
                <a:uFillTx/>
                <a:latin typeface="Aptos Narrow"/>
              </a:rPr>
              <a:t>Utility Function</a:t>
            </a:r>
            <a:r>
              <a:rPr lang="en-US" sz="1400" b="1" u="none" strike="noStrike">
                <a:solidFill>
                  <a:srgbClr val="595959"/>
                </a:solidFill>
                <a:uFillTx/>
                <a:latin typeface="Aptos Narrow"/>
              </a:rPr>
              <a:t> </a:t>
            </a:r>
          </a:p>
        </c:rich>
      </c:tx>
      <c:overlay val="0"/>
      <c:spPr>
        <a:noFill/>
        <a:ln w="0">
          <a:noFill/>
        </a:ln>
      </c:spPr>
    </c:title>
    <c:autoTitleDeleted val="0"/>
    <c:plotArea>
      <c:layout/>
      <c:scatterChart>
        <c:scatterStyle val="lineMarker"/>
        <c:varyColors val="0"/>
        <c:ser>
          <c:idx val="0"/>
          <c:order val="0"/>
          <c:spPr>
            <a:ln w="19080" cap="rnd">
              <a:solidFill>
                <a:srgbClr val="156082"/>
              </a:solidFill>
              <a:round/>
            </a:ln>
          </c:spPr>
          <c:marker>
            <c:symbol val="circle"/>
            <c:size val="5"/>
            <c:spPr>
              <a:solidFill>
                <a:srgbClr val="156082"/>
              </a:solidFill>
            </c:spPr>
          </c:marker>
          <c:dLbls>
            <c:spPr>
              <a:noFill/>
              <a:ln>
                <a:noFill/>
              </a:ln>
              <a:effectLst/>
            </c:spPr>
            <c:txPr>
              <a:bodyPr wrap="square"/>
              <a:lstStyle/>
              <a:p>
                <a:pPr>
                  <a:defRPr sz="1000" b="0" u="none" strike="noStrike">
                    <a:solidFill>
                      <a:srgbClr val="000000"/>
                    </a:solidFill>
                    <a:uFillTx/>
                    <a:latin typeface="Aptos Narrow"/>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19080">
                      <a:solidFill>
                        <a:srgbClr val="000000"/>
                      </a:solidFill>
                    </a:ln>
                  </c:spPr>
                </c15:leaderLines>
              </c:ext>
            </c:extLst>
          </c:dLbls>
          <c:trendline>
            <c:spPr>
              <a:ln w="19080">
                <a:noFill/>
              </a:ln>
            </c:spPr>
            <c:trendlineType val="poly"/>
            <c:order val="2"/>
            <c:dispRSqr val="0"/>
            <c:dispEq val="0"/>
          </c:trendline>
          <c:xVal>
            <c:strRef>
              <c:f>'Elicitation of functions'!$F$29:$F$33</c:f>
              <c:strCache>
                <c:ptCount val="5"/>
                <c:pt idx="0">
                  <c:v>Very poor</c:v>
                </c:pt>
                <c:pt idx="1">
                  <c:v>Poor</c:v>
                </c:pt>
                <c:pt idx="2">
                  <c:v>Acceptable</c:v>
                </c:pt>
                <c:pt idx="3">
                  <c:v>Good</c:v>
                </c:pt>
                <c:pt idx="4">
                  <c:v>Excellent</c:v>
                </c:pt>
              </c:strCache>
            </c:strRef>
          </c:xVal>
          <c:yVal>
            <c:numRef>
              <c:f>'Elicitation of functions'!$K$29:$K$33</c:f>
              <c:numCache>
                <c:formatCode>General</c:formatCode>
                <c:ptCount val="5"/>
                <c:pt idx="0">
                  <c:v>0</c:v>
                </c:pt>
                <c:pt idx="1">
                  <c:v>0.2</c:v>
                </c:pt>
                <c:pt idx="2">
                  <c:v>0.4</c:v>
                </c:pt>
                <c:pt idx="3">
                  <c:v>0.7</c:v>
                </c:pt>
                <c:pt idx="4">
                  <c:v>1</c:v>
                </c:pt>
              </c:numCache>
            </c:numRef>
          </c:yVal>
          <c:smooth val="1"/>
          <c:extLst>
            <c:ext xmlns:c16="http://schemas.microsoft.com/office/drawing/2014/chart" uri="{C3380CC4-5D6E-409C-BE32-E72D297353CC}">
              <c16:uniqueId val="{00000001-4B37-4FA3-9241-E488F02E6449}"/>
            </c:ext>
          </c:extLst>
        </c:ser>
        <c:dLbls>
          <c:showLegendKey val="0"/>
          <c:showVal val="0"/>
          <c:showCatName val="0"/>
          <c:showSerName val="0"/>
          <c:showPercent val="0"/>
          <c:showBubbleSize val="0"/>
        </c:dLbls>
        <c:axId val="36335052"/>
        <c:axId val="11485386"/>
      </c:scatterChart>
      <c:valAx>
        <c:axId val="36335052"/>
        <c:scaling>
          <c:orientation val="minMax"/>
        </c:scaling>
        <c:delete val="0"/>
        <c:axPos val="b"/>
        <c:majorGridlines>
          <c:spPr>
            <a:ln w="9360">
              <a:solidFill>
                <a:srgbClr val="D9D9D9"/>
              </a:solidFill>
              <a:round/>
            </a:ln>
          </c:spPr>
        </c:majorGridlines>
        <c:numFmt formatCode="General" sourceLinked="1"/>
        <c:majorTickMark val="none"/>
        <c:minorTickMark val="none"/>
        <c:tickLblPos val="nextTo"/>
        <c:spPr>
          <a:ln w="9360">
            <a:solidFill>
              <a:srgbClr val="BFBFBF"/>
            </a:solidFill>
            <a:round/>
          </a:ln>
        </c:spPr>
        <c:txPr>
          <a:bodyPr/>
          <a:lstStyle/>
          <a:p>
            <a:pPr>
              <a:defRPr sz="900" b="0" u="none" strike="noStrike">
                <a:solidFill>
                  <a:srgbClr val="595959"/>
                </a:solidFill>
                <a:uFillTx/>
                <a:latin typeface="Aptos Narrow"/>
              </a:defRPr>
            </a:pPr>
            <a:endParaRPr lang="en-US"/>
          </a:p>
        </c:txPr>
        <c:crossAx val="11485386"/>
        <c:crosses val="autoZero"/>
        <c:crossBetween val="midCat"/>
      </c:valAx>
      <c:valAx>
        <c:axId val="11485386"/>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u="none" strike="noStrike">
                <a:solidFill>
                  <a:srgbClr val="595959"/>
                </a:solidFill>
                <a:uFillTx/>
                <a:latin typeface="Aptos Narrow"/>
              </a:defRPr>
            </a:pPr>
            <a:endParaRPr lang="en-US"/>
          </a:p>
        </c:txPr>
        <c:crossAx val="36335052"/>
        <c:crosses val="autoZero"/>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400" b="1" u="none" strike="noStrike">
                <a:solidFill>
                  <a:srgbClr val="595959"/>
                </a:solidFill>
                <a:uFillTx/>
                <a:latin typeface="Aptos Narrow"/>
              </a:rPr>
              <a:t>Completion and progression Utility Function</a:t>
            </a:r>
          </a:p>
        </c:rich>
      </c:tx>
      <c:overlay val="0"/>
      <c:spPr>
        <a:noFill/>
        <a:ln w="0">
          <a:noFill/>
        </a:ln>
      </c:spPr>
    </c:title>
    <c:autoTitleDeleted val="0"/>
    <c:plotArea>
      <c:layout/>
      <c:scatterChart>
        <c:scatterStyle val="lineMarker"/>
        <c:varyColors val="0"/>
        <c:ser>
          <c:idx val="0"/>
          <c:order val="0"/>
          <c:spPr>
            <a:ln w="19080" cap="rnd">
              <a:solidFill>
                <a:srgbClr val="156082"/>
              </a:solidFill>
              <a:round/>
            </a:ln>
          </c:spPr>
          <c:marker>
            <c:symbol val="circle"/>
            <c:size val="5"/>
            <c:spPr>
              <a:solidFill>
                <a:srgbClr val="156082"/>
              </a:solidFill>
            </c:spPr>
          </c:marker>
          <c:dLbls>
            <c:spPr>
              <a:noFill/>
              <a:ln>
                <a:noFill/>
              </a:ln>
              <a:effectLst/>
            </c:spPr>
            <c:txPr>
              <a:bodyPr wrap="square"/>
              <a:lstStyle/>
              <a:p>
                <a:pPr>
                  <a:defRPr sz="1000" b="0" u="none" strike="noStrike">
                    <a:solidFill>
                      <a:srgbClr val="000000"/>
                    </a:solidFill>
                    <a:uFillTx/>
                    <a:latin typeface="Aptos Narrow"/>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19080">
                      <a:solidFill>
                        <a:srgbClr val="000000"/>
                      </a:solidFill>
                    </a:ln>
                  </c:spPr>
                </c15:leaderLines>
              </c:ext>
            </c:extLst>
          </c:dLbls>
          <c:trendline>
            <c:spPr>
              <a:ln w="19080">
                <a:noFill/>
              </a:ln>
            </c:spPr>
            <c:trendlineType val="linear"/>
            <c:dispRSqr val="0"/>
            <c:dispEq val="0"/>
          </c:trendline>
          <c:xVal>
            <c:numRef>
              <c:f>'Elicitation of functions'!$N$18:$N$22</c:f>
              <c:numCache>
                <c:formatCode>0%</c:formatCode>
                <c:ptCount val="5"/>
                <c:pt idx="0">
                  <c:v>0.55000000000000004</c:v>
                </c:pt>
                <c:pt idx="1">
                  <c:v>0.65</c:v>
                </c:pt>
                <c:pt idx="2">
                  <c:v>0.72</c:v>
                </c:pt>
                <c:pt idx="3">
                  <c:v>0.8</c:v>
                </c:pt>
                <c:pt idx="4">
                  <c:v>0.9</c:v>
                </c:pt>
              </c:numCache>
            </c:numRef>
          </c:xVal>
          <c:yVal>
            <c:numRef>
              <c:f>'Elicitation of functions'!$O$18:$O$22</c:f>
              <c:numCache>
                <c:formatCode>General</c:formatCode>
                <c:ptCount val="5"/>
                <c:pt idx="0">
                  <c:v>0</c:v>
                </c:pt>
                <c:pt idx="1">
                  <c:v>0.25</c:v>
                </c:pt>
                <c:pt idx="2">
                  <c:v>0.5</c:v>
                </c:pt>
                <c:pt idx="3">
                  <c:v>0.75</c:v>
                </c:pt>
                <c:pt idx="4">
                  <c:v>1</c:v>
                </c:pt>
              </c:numCache>
            </c:numRef>
          </c:yVal>
          <c:smooth val="1"/>
          <c:extLst>
            <c:ext xmlns:c16="http://schemas.microsoft.com/office/drawing/2014/chart" uri="{C3380CC4-5D6E-409C-BE32-E72D297353CC}">
              <c16:uniqueId val="{00000001-83A0-4C3C-9874-9A00FB5DC1C1}"/>
            </c:ext>
          </c:extLst>
        </c:ser>
        <c:dLbls>
          <c:showLegendKey val="0"/>
          <c:showVal val="0"/>
          <c:showCatName val="0"/>
          <c:showSerName val="0"/>
          <c:showPercent val="0"/>
          <c:showBubbleSize val="0"/>
        </c:dLbls>
        <c:axId val="88766624"/>
        <c:axId val="66058205"/>
      </c:scatterChart>
      <c:valAx>
        <c:axId val="88766624"/>
        <c:scaling>
          <c:orientation val="minMax"/>
          <c:min val="0.5"/>
        </c:scaling>
        <c:delete val="0"/>
        <c:axPos val="b"/>
        <c:majorGridlines>
          <c:spPr>
            <a:ln w="9360">
              <a:solidFill>
                <a:srgbClr val="D9D9D9"/>
              </a:solidFill>
              <a:round/>
            </a:ln>
          </c:spPr>
        </c:majorGridlines>
        <c:numFmt formatCode="0%" sourceLinked="0"/>
        <c:majorTickMark val="none"/>
        <c:minorTickMark val="none"/>
        <c:tickLblPos val="nextTo"/>
        <c:spPr>
          <a:ln w="9360">
            <a:solidFill>
              <a:srgbClr val="BFBFBF"/>
            </a:solidFill>
            <a:round/>
          </a:ln>
        </c:spPr>
        <c:txPr>
          <a:bodyPr/>
          <a:lstStyle/>
          <a:p>
            <a:pPr>
              <a:defRPr sz="900" b="0" u="none" strike="noStrike">
                <a:solidFill>
                  <a:srgbClr val="595959"/>
                </a:solidFill>
                <a:uFillTx/>
                <a:latin typeface="Aptos Narrow"/>
              </a:defRPr>
            </a:pPr>
            <a:endParaRPr lang="en-US"/>
          </a:p>
        </c:txPr>
        <c:crossAx val="66058205"/>
        <c:crosses val="autoZero"/>
        <c:crossBetween val="midCat"/>
      </c:valAx>
      <c:valAx>
        <c:axId val="66058205"/>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u="none" strike="noStrike">
                <a:solidFill>
                  <a:srgbClr val="595959"/>
                </a:solidFill>
                <a:uFillTx/>
                <a:latin typeface="Aptos Narrow"/>
              </a:defRPr>
            </a:pPr>
            <a:endParaRPr lang="en-US"/>
          </a:p>
        </c:txPr>
        <c:crossAx val="88766624"/>
        <c:crosses val="autoZero"/>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400" b="1" u="none" strike="noStrike">
                <a:solidFill>
                  <a:srgbClr val="595959"/>
                </a:solidFill>
                <a:uFillTx/>
                <a:latin typeface="Aptos Narrow"/>
              </a:rPr>
              <a:t>Achievement of learning outcomes </a:t>
            </a:r>
            <a:r>
              <a:rPr lang="en-US" sz="1400" b="1" u="none" strike="noStrike">
                <a:solidFill>
                  <a:srgbClr val="3A3A3A"/>
                </a:solidFill>
                <a:uFillTx/>
                <a:latin typeface="Aptos Narrow"/>
              </a:rPr>
              <a:t>Utility Function</a:t>
            </a:r>
            <a:r>
              <a:rPr lang="en-US" sz="1400" b="1" u="none" strike="noStrike">
                <a:solidFill>
                  <a:srgbClr val="595959"/>
                </a:solidFill>
                <a:uFillTx/>
                <a:latin typeface="Aptos Narrow"/>
              </a:rPr>
              <a:t> </a:t>
            </a:r>
          </a:p>
        </c:rich>
      </c:tx>
      <c:overlay val="0"/>
      <c:spPr>
        <a:noFill/>
        <a:ln w="0">
          <a:noFill/>
        </a:ln>
      </c:spPr>
    </c:title>
    <c:autoTitleDeleted val="0"/>
    <c:plotArea>
      <c:layout/>
      <c:scatterChart>
        <c:scatterStyle val="lineMarker"/>
        <c:varyColors val="0"/>
        <c:ser>
          <c:idx val="0"/>
          <c:order val="0"/>
          <c:tx>
            <c:strRef>
              <c:f>'Elicitation of functions'!$L$8</c:f>
              <c:strCache>
                <c:ptCount val="1"/>
                <c:pt idx="0">
                  <c:v>t</c:v>
                </c:pt>
              </c:strCache>
            </c:strRef>
          </c:tx>
          <c:spPr>
            <a:ln w="19080">
              <a:noFill/>
            </a:ln>
          </c:spPr>
          <c:marker>
            <c:symbol val="circle"/>
            <c:size val="5"/>
            <c:spPr>
              <a:solidFill>
                <a:srgbClr val="156082"/>
              </a:solidFill>
            </c:spPr>
          </c:marker>
          <c:dLbls>
            <c:spPr>
              <a:noFill/>
              <a:ln>
                <a:noFill/>
              </a:ln>
              <a:effectLst/>
            </c:spPr>
            <c:txPr>
              <a:bodyPr wrap="square"/>
              <a:lstStyle/>
              <a:p>
                <a:pPr>
                  <a:defRPr sz="1000" b="0" u="none" strike="noStrike">
                    <a:solidFill>
                      <a:srgbClr val="000000"/>
                    </a:solidFill>
                    <a:uFillTx/>
                    <a:latin typeface="Aptos Narrow"/>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19080">
                      <a:solidFill>
                        <a:srgbClr val="000000"/>
                      </a:solidFill>
                    </a:ln>
                  </c:spPr>
                </c15:leaderLines>
              </c:ext>
            </c:extLst>
          </c:dLbls>
          <c:trendline>
            <c:spPr>
              <a:ln w="19080" cap="rnd">
                <a:solidFill>
                  <a:srgbClr val="156082"/>
                </a:solidFill>
                <a:round/>
              </a:ln>
            </c:spPr>
            <c:trendlineType val="log"/>
            <c:dispRSqr val="0"/>
            <c:dispEq val="0"/>
          </c:trendline>
          <c:xVal>
            <c:numRef>
              <c:f>'Elicitation of functions'!$K$9:$K$13</c:f>
              <c:numCache>
                <c:formatCode>0%</c:formatCode>
                <c:ptCount val="5"/>
                <c:pt idx="0">
                  <c:v>0.65</c:v>
                </c:pt>
                <c:pt idx="1">
                  <c:v>0.72</c:v>
                </c:pt>
                <c:pt idx="2">
                  <c:v>0.8</c:v>
                </c:pt>
                <c:pt idx="3">
                  <c:v>0.85</c:v>
                </c:pt>
                <c:pt idx="4">
                  <c:v>0.95</c:v>
                </c:pt>
              </c:numCache>
            </c:numRef>
          </c:xVal>
          <c:yVal>
            <c:numRef>
              <c:f>'Elicitation of functions'!$L$9:$L$13</c:f>
              <c:numCache>
                <c:formatCode>General</c:formatCode>
                <c:ptCount val="5"/>
                <c:pt idx="0">
                  <c:v>0</c:v>
                </c:pt>
                <c:pt idx="1">
                  <c:v>0.25</c:v>
                </c:pt>
                <c:pt idx="2">
                  <c:v>0.5</c:v>
                </c:pt>
                <c:pt idx="3">
                  <c:v>0.75</c:v>
                </c:pt>
                <c:pt idx="4">
                  <c:v>1</c:v>
                </c:pt>
              </c:numCache>
            </c:numRef>
          </c:yVal>
          <c:smooth val="0"/>
          <c:extLst>
            <c:ext xmlns:c16="http://schemas.microsoft.com/office/drawing/2014/chart" uri="{C3380CC4-5D6E-409C-BE32-E72D297353CC}">
              <c16:uniqueId val="{00000001-C569-4F5D-84D9-E8FAF9B64055}"/>
            </c:ext>
          </c:extLst>
        </c:ser>
        <c:dLbls>
          <c:showLegendKey val="0"/>
          <c:showVal val="0"/>
          <c:showCatName val="0"/>
          <c:showSerName val="0"/>
          <c:showPercent val="0"/>
          <c:showBubbleSize val="0"/>
        </c:dLbls>
        <c:axId val="35369414"/>
        <c:axId val="55338090"/>
      </c:scatterChart>
      <c:valAx>
        <c:axId val="35369414"/>
        <c:scaling>
          <c:orientation val="minMax"/>
          <c:min val="0.6"/>
        </c:scaling>
        <c:delete val="0"/>
        <c:axPos val="b"/>
        <c:majorGridlines>
          <c:spPr>
            <a:ln w="9360">
              <a:solidFill>
                <a:srgbClr val="D9D9D9"/>
              </a:solidFill>
              <a:round/>
            </a:ln>
          </c:spPr>
        </c:majorGridlines>
        <c:numFmt formatCode="0%" sourceLinked="0"/>
        <c:majorTickMark val="none"/>
        <c:minorTickMark val="none"/>
        <c:tickLblPos val="nextTo"/>
        <c:spPr>
          <a:ln w="9360">
            <a:solidFill>
              <a:srgbClr val="BFBFBF"/>
            </a:solidFill>
            <a:round/>
          </a:ln>
        </c:spPr>
        <c:txPr>
          <a:bodyPr/>
          <a:lstStyle/>
          <a:p>
            <a:pPr>
              <a:defRPr sz="900" b="0" u="none" strike="noStrike">
                <a:solidFill>
                  <a:srgbClr val="595959"/>
                </a:solidFill>
                <a:uFillTx/>
                <a:latin typeface="Aptos Narrow"/>
              </a:defRPr>
            </a:pPr>
            <a:endParaRPr lang="en-US"/>
          </a:p>
        </c:txPr>
        <c:crossAx val="55338090"/>
        <c:crosses val="autoZero"/>
        <c:crossBetween val="midCat"/>
      </c:valAx>
      <c:valAx>
        <c:axId val="55338090"/>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u="none" strike="noStrike">
                <a:solidFill>
                  <a:srgbClr val="595959"/>
                </a:solidFill>
                <a:uFillTx/>
                <a:latin typeface="Aptos Narrow"/>
              </a:defRPr>
            </a:pPr>
            <a:endParaRPr lang="en-US"/>
          </a:p>
        </c:txPr>
        <c:crossAx val="35369414"/>
        <c:crosses val="autoZero"/>
        <c:crossBetween val="midCat"/>
      </c:valAx>
      <c:spPr>
        <a:noFill/>
        <a:ln w="0">
          <a:noFill/>
        </a:ln>
      </c:spPr>
    </c:plotArea>
    <c:plotVisOnly val="1"/>
    <c:dispBlanksAs val="gap"/>
    <c:showDLblsOverMax val="1"/>
  </c:chart>
  <c:spPr>
    <a:solidFill>
      <a:srgbClr val="FFFFFF"/>
    </a:solidFill>
    <a:ln w="9360">
      <a:solidFill>
        <a:srgbClr val="156082">
          <a:alpha val="94000"/>
        </a:srgbClr>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400" b="1" u="none" strike="noStrike">
                <a:solidFill>
                  <a:srgbClr val="595959"/>
                </a:solidFill>
                <a:uFillTx/>
                <a:latin typeface="Aptos Narrow"/>
              </a:rPr>
              <a:t>Accessibility flexibility and equity </a:t>
            </a:r>
            <a:r>
              <a:rPr lang="en-US" sz="1400" b="1" u="none" strike="noStrike">
                <a:solidFill>
                  <a:srgbClr val="3A3A3A"/>
                </a:solidFill>
                <a:uFillTx/>
                <a:latin typeface="Aptos Narrow"/>
              </a:rPr>
              <a:t>Utility Function </a:t>
            </a:r>
            <a:r>
              <a:rPr lang="en-US" sz="1400" b="1" u="none" strike="noStrike">
                <a:solidFill>
                  <a:srgbClr val="595959"/>
                </a:solidFill>
                <a:uFillTx/>
                <a:latin typeface="Aptos Narrow"/>
              </a:rPr>
              <a:t> </a:t>
            </a:r>
          </a:p>
        </c:rich>
      </c:tx>
      <c:overlay val="0"/>
      <c:spPr>
        <a:noFill/>
        <a:ln w="0">
          <a:noFill/>
        </a:ln>
      </c:spPr>
    </c:title>
    <c:autoTitleDeleted val="0"/>
    <c:plotArea>
      <c:layout/>
      <c:scatterChart>
        <c:scatterStyle val="lineMarker"/>
        <c:varyColors val="0"/>
        <c:ser>
          <c:idx val="0"/>
          <c:order val="0"/>
          <c:spPr>
            <a:ln w="19080" cap="rnd">
              <a:solidFill>
                <a:srgbClr val="156082"/>
              </a:solidFill>
              <a:round/>
            </a:ln>
          </c:spPr>
          <c:marker>
            <c:symbol val="circle"/>
            <c:size val="5"/>
            <c:spPr>
              <a:solidFill>
                <a:srgbClr val="156082"/>
              </a:solidFill>
            </c:spPr>
          </c:marker>
          <c:dLbls>
            <c:spPr>
              <a:noFill/>
              <a:ln>
                <a:noFill/>
              </a:ln>
              <a:effectLst/>
            </c:spPr>
            <c:txPr>
              <a:bodyPr wrap="square"/>
              <a:lstStyle/>
              <a:p>
                <a:pPr>
                  <a:defRPr sz="1000" b="0" u="none" strike="noStrike">
                    <a:solidFill>
                      <a:srgbClr val="000000"/>
                    </a:solidFill>
                    <a:uFillTx/>
                    <a:latin typeface="Aptos Narrow"/>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19080">
                      <a:solidFill>
                        <a:srgbClr val="000000"/>
                      </a:solidFill>
                    </a:ln>
                  </c:spPr>
                </c15:leaderLines>
              </c:ext>
            </c:extLst>
          </c:dLbls>
          <c:trendline>
            <c:spPr>
              <a:ln w="19080">
                <a:noFill/>
              </a:ln>
            </c:spPr>
            <c:trendlineType val="linear"/>
            <c:dispRSqr val="0"/>
            <c:dispEq val="0"/>
          </c:trendline>
          <c:xVal>
            <c:numRef>
              <c:f>'Elicitation of functions'!$F$39:$F$43</c:f>
              <c:numCache>
                <c:formatCode>General</c:formatCode>
                <c:ptCount val="5"/>
                <c:pt idx="0">
                  <c:v>0</c:v>
                </c:pt>
                <c:pt idx="1">
                  <c:v>1</c:v>
                </c:pt>
                <c:pt idx="2">
                  <c:v>2</c:v>
                </c:pt>
                <c:pt idx="3">
                  <c:v>3</c:v>
                </c:pt>
                <c:pt idx="4">
                  <c:v>4</c:v>
                </c:pt>
              </c:numCache>
            </c:numRef>
          </c:xVal>
          <c:yVal>
            <c:numRef>
              <c:f>'Elicitation of functions'!$K$39:$K$43</c:f>
              <c:numCache>
                <c:formatCode>General</c:formatCode>
                <c:ptCount val="5"/>
                <c:pt idx="0">
                  <c:v>0</c:v>
                </c:pt>
                <c:pt idx="1">
                  <c:v>0.3</c:v>
                </c:pt>
                <c:pt idx="2">
                  <c:v>0.5</c:v>
                </c:pt>
                <c:pt idx="3">
                  <c:v>0.8</c:v>
                </c:pt>
                <c:pt idx="4">
                  <c:v>1</c:v>
                </c:pt>
              </c:numCache>
            </c:numRef>
          </c:yVal>
          <c:smooth val="0"/>
          <c:extLst>
            <c:ext xmlns:c16="http://schemas.microsoft.com/office/drawing/2014/chart" uri="{C3380CC4-5D6E-409C-BE32-E72D297353CC}">
              <c16:uniqueId val="{00000001-B064-4316-A6E2-637DCC326AD0}"/>
            </c:ext>
          </c:extLst>
        </c:ser>
        <c:dLbls>
          <c:showLegendKey val="0"/>
          <c:showVal val="0"/>
          <c:showCatName val="0"/>
          <c:showSerName val="0"/>
          <c:showPercent val="0"/>
          <c:showBubbleSize val="0"/>
        </c:dLbls>
        <c:axId val="62475946"/>
        <c:axId val="35938448"/>
      </c:scatterChart>
      <c:valAx>
        <c:axId val="62475946"/>
        <c:scaling>
          <c:orientation val="minMax"/>
        </c:scaling>
        <c:delete val="0"/>
        <c:axPos val="b"/>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u="none" strike="noStrike">
                <a:solidFill>
                  <a:srgbClr val="595959"/>
                </a:solidFill>
                <a:uFillTx/>
                <a:latin typeface="Aptos Narrow"/>
              </a:defRPr>
            </a:pPr>
            <a:endParaRPr lang="en-US"/>
          </a:p>
        </c:txPr>
        <c:crossAx val="35938448"/>
        <c:crosses val="autoZero"/>
        <c:crossBetween val="midCat"/>
      </c:valAx>
      <c:valAx>
        <c:axId val="35938448"/>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u="none" strike="noStrike">
                <a:solidFill>
                  <a:srgbClr val="595959"/>
                </a:solidFill>
                <a:uFillTx/>
                <a:latin typeface="Aptos Narrow"/>
              </a:defRPr>
            </a:pPr>
            <a:endParaRPr lang="en-US"/>
          </a:p>
        </c:txPr>
        <c:crossAx val="62475946"/>
        <c:crosses val="autoZero"/>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400" b="1" u="none" strike="noStrike">
                <a:solidFill>
                  <a:srgbClr val="595959"/>
                </a:solidFill>
                <a:uFillTx/>
                <a:latin typeface="Aptos Narrow"/>
              </a:rPr>
              <a:t>Integrity of Assessment </a:t>
            </a:r>
            <a:r>
              <a:rPr lang="en-US" sz="1400" b="1" u="none" strike="noStrike">
                <a:solidFill>
                  <a:srgbClr val="3A3A3A"/>
                </a:solidFill>
                <a:uFillTx/>
                <a:latin typeface="Aptos Narrow"/>
              </a:rPr>
              <a:t>Utility Function  </a:t>
            </a:r>
            <a:r>
              <a:rPr lang="en-US" sz="1400" b="1" u="none" strike="noStrike">
                <a:solidFill>
                  <a:srgbClr val="595959"/>
                </a:solidFill>
                <a:uFillTx/>
                <a:latin typeface="Aptos Narrow"/>
              </a:rPr>
              <a:t>  </a:t>
            </a:r>
          </a:p>
        </c:rich>
      </c:tx>
      <c:overlay val="0"/>
      <c:spPr>
        <a:noFill/>
        <a:ln w="0">
          <a:noFill/>
        </a:ln>
      </c:spPr>
    </c:title>
    <c:autoTitleDeleted val="0"/>
    <c:plotArea>
      <c:layout/>
      <c:scatterChart>
        <c:scatterStyle val="lineMarker"/>
        <c:varyColors val="0"/>
        <c:ser>
          <c:idx val="0"/>
          <c:order val="0"/>
          <c:spPr>
            <a:ln w="19080" cap="rnd">
              <a:solidFill>
                <a:srgbClr val="156082"/>
              </a:solidFill>
              <a:round/>
            </a:ln>
          </c:spPr>
          <c:marker>
            <c:symbol val="circle"/>
            <c:size val="5"/>
            <c:spPr>
              <a:solidFill>
                <a:srgbClr val="156082"/>
              </a:solidFill>
            </c:spPr>
          </c:marker>
          <c:dLbls>
            <c:spPr>
              <a:noFill/>
              <a:ln>
                <a:noFill/>
              </a:ln>
              <a:effectLst/>
            </c:spPr>
            <c:txPr>
              <a:bodyPr wrap="square"/>
              <a:lstStyle/>
              <a:p>
                <a:pPr>
                  <a:defRPr sz="1000" b="0" u="none" strike="noStrike">
                    <a:solidFill>
                      <a:srgbClr val="000000"/>
                    </a:solidFill>
                    <a:uFillTx/>
                    <a:latin typeface="Aptos Narrow"/>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19080">
                      <a:solidFill>
                        <a:srgbClr val="000000"/>
                      </a:solidFill>
                    </a:ln>
                  </c:spPr>
                </c15:leaderLines>
              </c:ext>
            </c:extLst>
          </c:dLbls>
          <c:trendline>
            <c:spPr>
              <a:ln w="19080">
                <a:noFill/>
              </a:ln>
            </c:spPr>
            <c:trendlineType val="linear"/>
            <c:dispRSqr val="0"/>
            <c:dispEq val="0"/>
          </c:trendline>
          <c:xVal>
            <c:strRef>
              <c:f>'Elicitation of functions'!$F$49:$F$52</c:f>
              <c:strCache>
                <c:ptCount val="4"/>
                <c:pt idx="0">
                  <c:v>Fragile</c:v>
                </c:pt>
                <c:pt idx="1">
                  <c:v>Basic</c:v>
                </c:pt>
                <c:pt idx="2">
                  <c:v>Robust</c:v>
                </c:pt>
                <c:pt idx="3">
                  <c:v>Exemplary</c:v>
                </c:pt>
              </c:strCache>
            </c:strRef>
          </c:xVal>
          <c:yVal>
            <c:numRef>
              <c:f>'Elicitation of functions'!$K$49:$K$52</c:f>
              <c:numCache>
                <c:formatCode>General</c:formatCode>
                <c:ptCount val="4"/>
                <c:pt idx="0">
                  <c:v>0</c:v>
                </c:pt>
                <c:pt idx="1">
                  <c:v>0.5</c:v>
                </c:pt>
                <c:pt idx="2">
                  <c:v>0.75</c:v>
                </c:pt>
                <c:pt idx="3">
                  <c:v>1</c:v>
                </c:pt>
              </c:numCache>
            </c:numRef>
          </c:yVal>
          <c:smooth val="1"/>
          <c:extLst>
            <c:ext xmlns:c16="http://schemas.microsoft.com/office/drawing/2014/chart" uri="{C3380CC4-5D6E-409C-BE32-E72D297353CC}">
              <c16:uniqueId val="{00000001-A89F-4F2C-8468-4517A380B19E}"/>
            </c:ext>
          </c:extLst>
        </c:ser>
        <c:dLbls>
          <c:showLegendKey val="0"/>
          <c:showVal val="0"/>
          <c:showCatName val="0"/>
          <c:showSerName val="0"/>
          <c:showPercent val="0"/>
          <c:showBubbleSize val="0"/>
        </c:dLbls>
        <c:axId val="48824637"/>
        <c:axId val="42445090"/>
      </c:scatterChart>
      <c:valAx>
        <c:axId val="48824637"/>
        <c:scaling>
          <c:orientation val="minMax"/>
        </c:scaling>
        <c:delete val="0"/>
        <c:axPos val="b"/>
        <c:majorGridlines>
          <c:spPr>
            <a:ln w="9360">
              <a:solidFill>
                <a:srgbClr val="D9D9D9"/>
              </a:solidFill>
              <a:round/>
            </a:ln>
          </c:spPr>
        </c:majorGridlines>
        <c:numFmt formatCode="General" sourceLinked="1"/>
        <c:majorTickMark val="none"/>
        <c:minorTickMark val="none"/>
        <c:tickLblPos val="nextTo"/>
        <c:spPr>
          <a:ln w="9360">
            <a:solidFill>
              <a:srgbClr val="BFBFBF"/>
            </a:solidFill>
            <a:round/>
          </a:ln>
        </c:spPr>
        <c:txPr>
          <a:bodyPr/>
          <a:lstStyle/>
          <a:p>
            <a:pPr>
              <a:defRPr sz="900" b="0" u="none" strike="noStrike">
                <a:solidFill>
                  <a:srgbClr val="595959"/>
                </a:solidFill>
                <a:uFillTx/>
                <a:latin typeface="Aptos Narrow"/>
              </a:defRPr>
            </a:pPr>
            <a:endParaRPr lang="en-US"/>
          </a:p>
        </c:txPr>
        <c:crossAx val="42445090"/>
        <c:crosses val="autoZero"/>
        <c:crossBetween val="midCat"/>
      </c:valAx>
      <c:valAx>
        <c:axId val="42445090"/>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u="none" strike="noStrike">
                <a:solidFill>
                  <a:srgbClr val="595959"/>
                </a:solidFill>
                <a:uFillTx/>
                <a:latin typeface="Aptos Narrow"/>
              </a:defRPr>
            </a:pPr>
            <a:endParaRPr lang="en-US"/>
          </a:p>
        </c:txPr>
        <c:crossAx val="48824637"/>
        <c:crosses val="autoZero"/>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400" b="1" u="none" strike="noStrike">
                <a:solidFill>
                  <a:srgbClr val="595959"/>
                </a:solidFill>
                <a:uFillTx/>
                <a:latin typeface="Aptos Narrow"/>
              </a:rPr>
              <a:t>Strategic control / autonomy </a:t>
            </a:r>
            <a:r>
              <a:rPr lang="en-US" sz="1400" b="1" u="none" strike="noStrike">
                <a:solidFill>
                  <a:srgbClr val="3A3A3A"/>
                </a:solidFill>
                <a:uFillTx/>
                <a:latin typeface="Aptos Narrow"/>
              </a:rPr>
              <a:t>Utility Function</a:t>
            </a:r>
            <a:r>
              <a:rPr lang="en-US" sz="1400" b="1" u="none" strike="noStrike">
                <a:solidFill>
                  <a:srgbClr val="595959"/>
                </a:solidFill>
                <a:uFillTx/>
                <a:latin typeface="Aptos Narrow"/>
              </a:rPr>
              <a:t> </a:t>
            </a:r>
          </a:p>
        </c:rich>
      </c:tx>
      <c:overlay val="0"/>
      <c:spPr>
        <a:noFill/>
        <a:ln w="0">
          <a:noFill/>
        </a:ln>
      </c:spPr>
    </c:title>
    <c:autoTitleDeleted val="0"/>
    <c:plotArea>
      <c:layout/>
      <c:scatterChart>
        <c:scatterStyle val="lineMarker"/>
        <c:varyColors val="0"/>
        <c:ser>
          <c:idx val="0"/>
          <c:order val="0"/>
          <c:tx>
            <c:strRef>
              <c:f>'Elicitation of functions'!$L$58</c:f>
              <c:strCache>
                <c:ptCount val="1"/>
                <c:pt idx="0">
                  <c:v>U(x)</c:v>
                </c:pt>
              </c:strCache>
            </c:strRef>
          </c:tx>
          <c:spPr>
            <a:ln w="19080" cap="rnd">
              <a:solidFill>
                <a:srgbClr val="156082"/>
              </a:solidFill>
              <a:round/>
            </a:ln>
          </c:spPr>
          <c:marker>
            <c:symbol val="circle"/>
            <c:size val="5"/>
            <c:spPr>
              <a:solidFill>
                <a:srgbClr val="156082"/>
              </a:solidFill>
            </c:spPr>
          </c:marker>
          <c:dLbls>
            <c:spPr>
              <a:noFill/>
              <a:ln>
                <a:noFill/>
              </a:ln>
              <a:effectLst/>
            </c:spPr>
            <c:txPr>
              <a:bodyPr wrap="square"/>
              <a:lstStyle/>
              <a:p>
                <a:pPr>
                  <a:defRPr sz="1000" b="0" u="none" strike="noStrike">
                    <a:solidFill>
                      <a:srgbClr val="000000"/>
                    </a:solidFill>
                    <a:uFillTx/>
                    <a:latin typeface="Aptos Narrow"/>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19080">
                      <a:solidFill>
                        <a:srgbClr val="000000"/>
                      </a:solidFill>
                    </a:ln>
                  </c:spPr>
                </c15:leaderLines>
              </c:ext>
            </c:extLst>
          </c:dLbls>
          <c:trendline>
            <c:spPr>
              <a:ln w="19080">
                <a:noFill/>
              </a:ln>
            </c:spPr>
            <c:trendlineType val="poly"/>
            <c:order val="2"/>
            <c:dispRSqr val="0"/>
            <c:dispEq val="0"/>
          </c:trendline>
          <c:xVal>
            <c:numRef>
              <c:f>'Elicitation of functions'!$K$59:$K$63</c:f>
              <c:numCache>
                <c:formatCode>0%</c:formatCode>
                <c:ptCount val="5"/>
                <c:pt idx="0">
                  <c:v>0.2</c:v>
                </c:pt>
                <c:pt idx="1">
                  <c:v>0.3</c:v>
                </c:pt>
                <c:pt idx="2">
                  <c:v>0.45</c:v>
                </c:pt>
                <c:pt idx="3">
                  <c:v>0.75</c:v>
                </c:pt>
                <c:pt idx="4">
                  <c:v>0.9</c:v>
                </c:pt>
              </c:numCache>
            </c:numRef>
          </c:xVal>
          <c:yVal>
            <c:numRef>
              <c:f>'Elicitation of functions'!$L$59:$L$63</c:f>
              <c:numCache>
                <c:formatCode>General</c:formatCode>
                <c:ptCount val="5"/>
                <c:pt idx="0">
                  <c:v>0</c:v>
                </c:pt>
                <c:pt idx="1">
                  <c:v>0.25</c:v>
                </c:pt>
                <c:pt idx="2">
                  <c:v>0.5</c:v>
                </c:pt>
                <c:pt idx="3">
                  <c:v>0.75</c:v>
                </c:pt>
                <c:pt idx="4">
                  <c:v>1</c:v>
                </c:pt>
              </c:numCache>
            </c:numRef>
          </c:yVal>
          <c:smooth val="1"/>
          <c:extLst>
            <c:ext xmlns:c16="http://schemas.microsoft.com/office/drawing/2014/chart" uri="{C3380CC4-5D6E-409C-BE32-E72D297353CC}">
              <c16:uniqueId val="{00000001-4AFC-44FA-AE83-E7B577B911E5}"/>
            </c:ext>
          </c:extLst>
        </c:ser>
        <c:dLbls>
          <c:showLegendKey val="0"/>
          <c:showVal val="0"/>
          <c:showCatName val="0"/>
          <c:showSerName val="0"/>
          <c:showPercent val="0"/>
          <c:showBubbleSize val="0"/>
        </c:dLbls>
        <c:axId val="63557040"/>
        <c:axId val="91041"/>
      </c:scatterChart>
      <c:valAx>
        <c:axId val="63557040"/>
        <c:scaling>
          <c:orientation val="minMax"/>
        </c:scaling>
        <c:delete val="0"/>
        <c:axPos val="b"/>
        <c:majorGridlines>
          <c:spPr>
            <a:ln w="9360">
              <a:solidFill>
                <a:srgbClr val="D9D9D9"/>
              </a:solidFill>
              <a:round/>
            </a:ln>
          </c:spPr>
        </c:majorGridlines>
        <c:numFmt formatCode="0%" sourceLinked="0"/>
        <c:majorTickMark val="none"/>
        <c:minorTickMark val="none"/>
        <c:tickLblPos val="nextTo"/>
        <c:spPr>
          <a:ln w="9360">
            <a:solidFill>
              <a:srgbClr val="BFBFBF"/>
            </a:solidFill>
            <a:round/>
          </a:ln>
        </c:spPr>
        <c:txPr>
          <a:bodyPr/>
          <a:lstStyle/>
          <a:p>
            <a:pPr>
              <a:defRPr sz="900" b="0" u="none" strike="noStrike">
                <a:solidFill>
                  <a:srgbClr val="595959"/>
                </a:solidFill>
                <a:uFillTx/>
                <a:latin typeface="Aptos Narrow"/>
              </a:defRPr>
            </a:pPr>
            <a:endParaRPr lang="en-US"/>
          </a:p>
        </c:txPr>
        <c:crossAx val="91041"/>
        <c:crosses val="autoZero"/>
        <c:crossBetween val="midCat"/>
      </c:valAx>
      <c:valAx>
        <c:axId val="91041"/>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u="none" strike="noStrike">
                <a:solidFill>
                  <a:srgbClr val="595959"/>
                </a:solidFill>
                <a:uFillTx/>
                <a:latin typeface="Aptos Narrow"/>
              </a:defRPr>
            </a:pPr>
            <a:endParaRPr lang="en-US"/>
          </a:p>
        </c:txPr>
        <c:crossAx val="63557040"/>
        <c:crosses val="autoZero"/>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400" b="1" u="none" strike="noStrike">
                <a:solidFill>
                  <a:srgbClr val="595959"/>
                </a:solidFill>
                <a:uFillTx/>
                <a:latin typeface="Aptos Narrow"/>
              </a:rPr>
              <a:t>External relevance and employability </a:t>
            </a:r>
            <a:r>
              <a:rPr lang="en-US" sz="1400" b="1" u="none" strike="noStrike">
                <a:solidFill>
                  <a:srgbClr val="3A3A3A"/>
                </a:solidFill>
                <a:uFillTx/>
                <a:latin typeface="Aptos Narrow"/>
              </a:rPr>
              <a:t>Utility Function </a:t>
            </a:r>
            <a:r>
              <a:rPr lang="en-US" sz="1400" b="1" u="none" strike="noStrike">
                <a:solidFill>
                  <a:srgbClr val="595959"/>
                </a:solidFill>
                <a:uFillTx/>
                <a:latin typeface="Aptos Narrow"/>
              </a:rPr>
              <a:t> </a:t>
            </a:r>
          </a:p>
        </c:rich>
      </c:tx>
      <c:overlay val="0"/>
      <c:spPr>
        <a:noFill/>
        <a:ln w="0">
          <a:noFill/>
        </a:ln>
      </c:spPr>
    </c:title>
    <c:autoTitleDeleted val="0"/>
    <c:plotArea>
      <c:layout/>
      <c:scatterChart>
        <c:scatterStyle val="lineMarker"/>
        <c:varyColors val="0"/>
        <c:ser>
          <c:idx val="0"/>
          <c:order val="0"/>
          <c:tx>
            <c:strRef>
              <c:f>'Elicitation of functions'!$L$68</c:f>
              <c:strCache>
                <c:ptCount val="1"/>
                <c:pt idx="0">
                  <c:v>U(x)</c:v>
                </c:pt>
              </c:strCache>
            </c:strRef>
          </c:tx>
          <c:spPr>
            <a:ln w="19080" cap="rnd">
              <a:solidFill>
                <a:srgbClr val="156082"/>
              </a:solidFill>
              <a:round/>
            </a:ln>
          </c:spPr>
          <c:marker>
            <c:symbol val="circle"/>
            <c:size val="5"/>
            <c:spPr>
              <a:solidFill>
                <a:srgbClr val="156082"/>
              </a:solidFill>
            </c:spPr>
          </c:marker>
          <c:dLbls>
            <c:spPr>
              <a:noFill/>
              <a:ln>
                <a:noFill/>
              </a:ln>
              <a:effectLst/>
            </c:spPr>
            <c:txPr>
              <a:bodyPr wrap="square"/>
              <a:lstStyle/>
              <a:p>
                <a:pPr>
                  <a:defRPr sz="1000" b="0" u="none" strike="noStrike">
                    <a:solidFill>
                      <a:srgbClr val="000000"/>
                    </a:solidFill>
                    <a:uFillTx/>
                    <a:latin typeface="Aptos Narrow"/>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19080">
                      <a:solidFill>
                        <a:srgbClr val="000000"/>
                      </a:solidFill>
                    </a:ln>
                  </c:spPr>
                </c15:leaderLines>
              </c:ext>
            </c:extLst>
          </c:dLbls>
          <c:trendline>
            <c:spPr>
              <a:ln w="19080">
                <a:noFill/>
              </a:ln>
            </c:spPr>
            <c:trendlineType val="poly"/>
            <c:order val="2"/>
            <c:dispRSqr val="0"/>
            <c:dispEq val="0"/>
          </c:trendline>
          <c:xVal>
            <c:numRef>
              <c:f>'Elicitation of functions'!$K$69:$K$73</c:f>
              <c:numCache>
                <c:formatCode>0%</c:formatCode>
                <c:ptCount val="5"/>
                <c:pt idx="0">
                  <c:v>0.65</c:v>
                </c:pt>
                <c:pt idx="1">
                  <c:v>0.71</c:v>
                </c:pt>
                <c:pt idx="2">
                  <c:v>0.82</c:v>
                </c:pt>
                <c:pt idx="3">
                  <c:v>0.9</c:v>
                </c:pt>
                <c:pt idx="4">
                  <c:v>0.95</c:v>
                </c:pt>
              </c:numCache>
            </c:numRef>
          </c:xVal>
          <c:yVal>
            <c:numRef>
              <c:f>'Elicitation of functions'!$L$69:$L$73</c:f>
              <c:numCache>
                <c:formatCode>General</c:formatCode>
                <c:ptCount val="5"/>
                <c:pt idx="0">
                  <c:v>0</c:v>
                </c:pt>
                <c:pt idx="1">
                  <c:v>0.25</c:v>
                </c:pt>
                <c:pt idx="2">
                  <c:v>0.5</c:v>
                </c:pt>
                <c:pt idx="3">
                  <c:v>0.75</c:v>
                </c:pt>
                <c:pt idx="4">
                  <c:v>1</c:v>
                </c:pt>
              </c:numCache>
            </c:numRef>
          </c:yVal>
          <c:smooth val="1"/>
          <c:extLst>
            <c:ext xmlns:c16="http://schemas.microsoft.com/office/drawing/2014/chart" uri="{C3380CC4-5D6E-409C-BE32-E72D297353CC}">
              <c16:uniqueId val="{00000001-7588-4E91-BF7F-6659858B2350}"/>
            </c:ext>
          </c:extLst>
        </c:ser>
        <c:dLbls>
          <c:showLegendKey val="0"/>
          <c:showVal val="0"/>
          <c:showCatName val="0"/>
          <c:showSerName val="0"/>
          <c:showPercent val="0"/>
          <c:showBubbleSize val="0"/>
        </c:dLbls>
        <c:axId val="46699628"/>
        <c:axId val="7015540"/>
      </c:scatterChart>
      <c:valAx>
        <c:axId val="46699628"/>
        <c:scaling>
          <c:orientation val="minMax"/>
          <c:min val="0.6"/>
        </c:scaling>
        <c:delete val="0"/>
        <c:axPos val="b"/>
        <c:majorGridlines>
          <c:spPr>
            <a:ln w="9360">
              <a:solidFill>
                <a:srgbClr val="D9D9D9"/>
              </a:solidFill>
              <a:round/>
            </a:ln>
          </c:spPr>
        </c:majorGridlines>
        <c:numFmt formatCode="0%" sourceLinked="0"/>
        <c:majorTickMark val="none"/>
        <c:minorTickMark val="none"/>
        <c:tickLblPos val="nextTo"/>
        <c:spPr>
          <a:ln w="9360">
            <a:solidFill>
              <a:srgbClr val="BFBFBF"/>
            </a:solidFill>
            <a:round/>
          </a:ln>
        </c:spPr>
        <c:txPr>
          <a:bodyPr/>
          <a:lstStyle/>
          <a:p>
            <a:pPr>
              <a:defRPr sz="900" b="0" u="none" strike="noStrike">
                <a:solidFill>
                  <a:srgbClr val="595959"/>
                </a:solidFill>
                <a:uFillTx/>
                <a:latin typeface="Aptos Narrow"/>
              </a:defRPr>
            </a:pPr>
            <a:endParaRPr lang="en-US"/>
          </a:p>
        </c:txPr>
        <c:crossAx val="7015540"/>
        <c:crosses val="autoZero"/>
        <c:crossBetween val="midCat"/>
      </c:valAx>
      <c:valAx>
        <c:axId val="7015540"/>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u="none" strike="noStrike">
                <a:solidFill>
                  <a:srgbClr val="595959"/>
                </a:solidFill>
                <a:uFillTx/>
                <a:latin typeface="Aptos Narrow"/>
              </a:defRPr>
            </a:pPr>
            <a:endParaRPr lang="en-US"/>
          </a:p>
        </c:txPr>
        <c:crossAx val="46699628"/>
        <c:crosses val="autoZero"/>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400" b="1" u="none" strike="noStrike">
                <a:solidFill>
                  <a:srgbClr val="595959"/>
                </a:solidFill>
                <a:uFillTx/>
                <a:latin typeface="Aptos Narrow"/>
              </a:rPr>
              <a:t>Global Attractiveness </a:t>
            </a:r>
            <a:r>
              <a:rPr lang="en-US" sz="1400" b="1" u="none" strike="noStrike">
                <a:solidFill>
                  <a:srgbClr val="3A3A3A"/>
                </a:solidFill>
                <a:uFillTx/>
                <a:latin typeface="Aptos Narrow"/>
              </a:rPr>
              <a:t>Utility Function</a:t>
            </a:r>
            <a:r>
              <a:rPr lang="en-US" sz="1400" b="1" u="none" strike="noStrike">
                <a:solidFill>
                  <a:srgbClr val="595959"/>
                </a:solidFill>
                <a:uFillTx/>
                <a:latin typeface="Aptos Narrow"/>
              </a:rPr>
              <a:t> </a:t>
            </a:r>
          </a:p>
        </c:rich>
      </c:tx>
      <c:overlay val="0"/>
      <c:spPr>
        <a:noFill/>
        <a:ln w="0">
          <a:noFill/>
        </a:ln>
      </c:spPr>
    </c:title>
    <c:autoTitleDeleted val="0"/>
    <c:plotArea>
      <c:layout/>
      <c:scatterChart>
        <c:scatterStyle val="lineMarker"/>
        <c:varyColors val="0"/>
        <c:ser>
          <c:idx val="0"/>
          <c:order val="0"/>
          <c:spPr>
            <a:ln w="19080" cap="rnd">
              <a:solidFill>
                <a:srgbClr val="156082"/>
              </a:solidFill>
              <a:round/>
            </a:ln>
          </c:spPr>
          <c:marker>
            <c:symbol val="circle"/>
            <c:size val="5"/>
            <c:spPr>
              <a:solidFill>
                <a:srgbClr val="156082"/>
              </a:solidFill>
            </c:spPr>
          </c:marker>
          <c:dLbls>
            <c:spPr>
              <a:noFill/>
              <a:ln>
                <a:noFill/>
              </a:ln>
              <a:effectLst/>
            </c:spPr>
            <c:txPr>
              <a:bodyPr wrap="square"/>
              <a:lstStyle/>
              <a:p>
                <a:pPr>
                  <a:defRPr sz="1000" b="0" u="none" strike="noStrike">
                    <a:solidFill>
                      <a:srgbClr val="000000"/>
                    </a:solidFill>
                    <a:uFillTx/>
                    <a:latin typeface="Aptos Narrow"/>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19080">
                      <a:solidFill>
                        <a:srgbClr val="000000"/>
                      </a:solidFill>
                    </a:ln>
                  </c:spPr>
                </c15:leaderLines>
              </c:ext>
            </c:extLst>
          </c:dLbls>
          <c:trendline>
            <c:spPr>
              <a:ln w="19080">
                <a:noFill/>
              </a:ln>
            </c:spPr>
            <c:trendlineType val="poly"/>
            <c:order val="2"/>
            <c:dispRSqr val="0"/>
            <c:dispEq val="0"/>
          </c:trendline>
          <c:xVal>
            <c:numRef>
              <c:f>'Elicitation of functions'!$F$79:$F$83</c:f>
              <c:numCache>
                <c:formatCode>General</c:formatCode>
                <c:ptCount val="5"/>
                <c:pt idx="0">
                  <c:v>1</c:v>
                </c:pt>
                <c:pt idx="1">
                  <c:v>2</c:v>
                </c:pt>
                <c:pt idx="2">
                  <c:v>3</c:v>
                </c:pt>
                <c:pt idx="3">
                  <c:v>4</c:v>
                </c:pt>
                <c:pt idx="4">
                  <c:v>5</c:v>
                </c:pt>
              </c:numCache>
            </c:numRef>
          </c:xVal>
          <c:yVal>
            <c:numRef>
              <c:f>'Elicitation of functions'!$K$79:$K$83</c:f>
              <c:numCache>
                <c:formatCode>General</c:formatCode>
                <c:ptCount val="5"/>
                <c:pt idx="0">
                  <c:v>0</c:v>
                </c:pt>
                <c:pt idx="1">
                  <c:v>0.2</c:v>
                </c:pt>
                <c:pt idx="2">
                  <c:v>0.35</c:v>
                </c:pt>
                <c:pt idx="3">
                  <c:v>0.7</c:v>
                </c:pt>
                <c:pt idx="4">
                  <c:v>1</c:v>
                </c:pt>
              </c:numCache>
            </c:numRef>
          </c:yVal>
          <c:smooth val="1"/>
          <c:extLst>
            <c:ext xmlns:c16="http://schemas.microsoft.com/office/drawing/2014/chart" uri="{C3380CC4-5D6E-409C-BE32-E72D297353CC}">
              <c16:uniqueId val="{00000001-652F-481F-A072-91CD6E2828DB}"/>
            </c:ext>
          </c:extLst>
        </c:ser>
        <c:dLbls>
          <c:showLegendKey val="0"/>
          <c:showVal val="0"/>
          <c:showCatName val="0"/>
          <c:showSerName val="0"/>
          <c:showPercent val="0"/>
          <c:showBubbleSize val="0"/>
        </c:dLbls>
        <c:axId val="19996430"/>
        <c:axId val="20273612"/>
      </c:scatterChart>
      <c:valAx>
        <c:axId val="19996430"/>
        <c:scaling>
          <c:orientation val="minMax"/>
        </c:scaling>
        <c:delete val="0"/>
        <c:axPos val="b"/>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u="none" strike="noStrike">
                <a:solidFill>
                  <a:srgbClr val="595959"/>
                </a:solidFill>
                <a:uFillTx/>
                <a:latin typeface="Aptos Narrow"/>
              </a:defRPr>
            </a:pPr>
            <a:endParaRPr lang="en-US"/>
          </a:p>
        </c:txPr>
        <c:crossAx val="20273612"/>
        <c:crosses val="autoZero"/>
        <c:crossBetween val="midCat"/>
      </c:valAx>
      <c:valAx>
        <c:axId val="20273612"/>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u="none" strike="noStrike">
                <a:solidFill>
                  <a:srgbClr val="595959"/>
                </a:solidFill>
                <a:uFillTx/>
                <a:latin typeface="Aptos Narrow"/>
              </a:defRPr>
            </a:pPr>
            <a:endParaRPr lang="en-US"/>
          </a:p>
        </c:txPr>
        <c:crossAx val="19996430"/>
        <c:crosses val="autoZero"/>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16</xdr:col>
      <xdr:colOff>8280</xdr:colOff>
      <xdr:row>23</xdr:row>
      <xdr:rowOff>53280</xdr:rowOff>
    </xdr:from>
    <xdr:to>
      <xdr:col>24</xdr:col>
      <xdr:colOff>535680</xdr:colOff>
      <xdr:row>33</xdr:row>
      <xdr:rowOff>32400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593640</xdr:colOff>
      <xdr:row>11</xdr:row>
      <xdr:rowOff>145800</xdr:rowOff>
    </xdr:from>
    <xdr:to>
      <xdr:col>24</xdr:col>
      <xdr:colOff>535680</xdr:colOff>
      <xdr:row>22</xdr:row>
      <xdr:rowOff>7920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49320</xdr:colOff>
      <xdr:row>0</xdr:row>
      <xdr:rowOff>8280</xdr:rowOff>
    </xdr:from>
    <xdr:to>
      <xdr:col>25</xdr:col>
      <xdr:colOff>139680</xdr:colOff>
      <xdr:row>11</xdr:row>
      <xdr:rowOff>24480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437040</xdr:colOff>
      <xdr:row>34</xdr:row>
      <xdr:rowOff>112680</xdr:rowOff>
    </xdr:from>
    <xdr:to>
      <xdr:col>24</xdr:col>
      <xdr:colOff>593280</xdr:colOff>
      <xdr:row>44</xdr:row>
      <xdr:rowOff>73800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313200</xdr:colOff>
      <xdr:row>44</xdr:row>
      <xdr:rowOff>145800</xdr:rowOff>
    </xdr:from>
    <xdr:to>
      <xdr:col>25</xdr:col>
      <xdr:colOff>403560</xdr:colOff>
      <xdr:row>53</xdr:row>
      <xdr:rowOff>156240</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412200</xdr:colOff>
      <xdr:row>54</xdr:row>
      <xdr:rowOff>13680</xdr:rowOff>
    </xdr:from>
    <xdr:to>
      <xdr:col>25</xdr:col>
      <xdr:colOff>409320</xdr:colOff>
      <xdr:row>64</xdr:row>
      <xdr:rowOff>123120</xdr:rowOff>
    </xdr:to>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329760</xdr:colOff>
      <xdr:row>65</xdr:row>
      <xdr:rowOff>5760</xdr:rowOff>
    </xdr:from>
    <xdr:to>
      <xdr:col>25</xdr:col>
      <xdr:colOff>420120</xdr:colOff>
      <xdr:row>76</xdr:row>
      <xdr:rowOff>131760</xdr:rowOff>
    </xdr:to>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15</xdr:col>
      <xdr:colOff>346320</xdr:colOff>
      <xdr:row>77</xdr:row>
      <xdr:rowOff>21960</xdr:rowOff>
    </xdr:from>
    <xdr:to>
      <xdr:col>26</xdr:col>
      <xdr:colOff>205920</xdr:colOff>
      <xdr:row>88</xdr:row>
      <xdr:rowOff>106560</xdr:rowOff>
    </xdr:to>
    <xdr:graphicFrame macro="">
      <xdr:nvGraphicFramePr>
        <xdr:cNvPr id="9" name="Chart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E9" totalsRowShown="0">
  <autoFilter ref="A1:E9" xr:uid="{00000000-0009-0000-0100-000001000000}"/>
  <tableColumns count="5">
    <tableColumn id="1" xr3:uid="{00000000-0010-0000-0000-000001000000}" name="Attribute"/>
    <tableColumn id="2" xr3:uid="{00000000-0010-0000-0000-000002000000}" name="Scale type"/>
    <tableColumn id="3" xr3:uid="{00000000-0010-0000-0000-000003000000}" name="Worst plausible consequence"/>
    <tableColumn id="4" xr3:uid="{00000000-0010-0000-0000-000004000000}" name="Best plausible consequence"/>
    <tableColumn id="5" xr3:uid="{00000000-0010-0000-0000-000005000000}" name="Scale descriptio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G2:L5"/>
  <sheetViews>
    <sheetView zoomScale="104" zoomScaleNormal="104" workbookViewId="0">
      <selection activeCell="I4" sqref="I4"/>
    </sheetView>
  </sheetViews>
  <sheetFormatPr defaultColWidth="8.81640625" defaultRowHeight="14.25" customHeight="1"/>
  <cols>
    <col min="1" max="1" width="14.26953125" customWidth="1"/>
    <col min="7" max="7" width="14.453125" customWidth="1"/>
    <col min="8" max="8" width="10.81640625" customWidth="1"/>
  </cols>
  <sheetData>
    <row r="2" spans="7:12">
      <c r="G2" s="11" t="s">
        <v>0</v>
      </c>
      <c r="H2" s="11"/>
      <c r="I2" s="14" t="s">
        <v>1</v>
      </c>
      <c r="J2" s="15"/>
      <c r="K2" s="15"/>
      <c r="L2" s="15"/>
    </row>
    <row r="3" spans="7:12">
      <c r="G3" s="14" t="s">
        <v>2</v>
      </c>
      <c r="H3" s="14">
        <v>3</v>
      </c>
      <c r="I3" s="14">
        <v>0.11111111111111099</v>
      </c>
      <c r="J3" s="15"/>
      <c r="K3" s="15"/>
      <c r="L3" s="15"/>
    </row>
    <row r="4" spans="7:12">
      <c r="G4" s="14" t="s">
        <v>3</v>
      </c>
      <c r="H4" s="14">
        <v>1</v>
      </c>
      <c r="I4" s="14">
        <v>0.61111111111111105</v>
      </c>
      <c r="J4" s="15"/>
      <c r="K4" s="15"/>
      <c r="L4" s="15"/>
    </row>
    <row r="5" spans="7:12">
      <c r="G5" s="14" t="s">
        <v>4</v>
      </c>
      <c r="H5" s="14">
        <v>2</v>
      </c>
      <c r="I5" s="14">
        <v>0.27777777777777801</v>
      </c>
      <c r="J5" s="15"/>
      <c r="K5" s="15"/>
      <c r="L5" s="15"/>
    </row>
  </sheetData>
  <mergeCells count="1">
    <mergeCell ref="G2:H2"/>
  </mergeCell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11"/>
  <sheetViews>
    <sheetView topLeftCell="E1" zoomScale="77" zoomScaleNormal="77" workbookViewId="0">
      <selection activeCell="I43" sqref="I43"/>
    </sheetView>
  </sheetViews>
  <sheetFormatPr defaultColWidth="8.81640625" defaultRowHeight="14.25" customHeight="1"/>
  <cols>
    <col min="1" max="1" width="33" customWidth="1"/>
    <col min="2" max="2" width="19.453125" customWidth="1"/>
    <col min="3" max="3" width="27.26953125" customWidth="1"/>
    <col min="4" max="4" width="30.81640625" customWidth="1"/>
    <col min="5" max="5" width="83.81640625" customWidth="1"/>
    <col min="6" max="6" width="10.453125" customWidth="1"/>
    <col min="7" max="7" width="11.1796875" customWidth="1"/>
    <col min="8" max="8" width="14" customWidth="1"/>
    <col min="9" max="9" width="10.453125" customWidth="1"/>
  </cols>
  <sheetData>
    <row r="1" spans="1:12" ht="14.5">
      <c r="A1" s="15" t="s">
        <v>5</v>
      </c>
      <c r="B1" s="15" t="s">
        <v>6</v>
      </c>
      <c r="C1" s="15" t="s">
        <v>7</v>
      </c>
      <c r="D1" s="15" t="s">
        <v>8</v>
      </c>
      <c r="E1" s="15" t="s">
        <v>9</v>
      </c>
    </row>
    <row r="2" spans="1:12" ht="14.5">
      <c r="A2" s="16" t="s">
        <v>10</v>
      </c>
      <c r="B2" s="15" t="s">
        <v>11</v>
      </c>
      <c r="C2" s="17">
        <v>0.65</v>
      </c>
      <c r="D2" s="17">
        <v>0.95</v>
      </c>
      <c r="E2" s="18" t="s">
        <v>12</v>
      </c>
    </row>
    <row r="3" spans="1:12" ht="14.5">
      <c r="A3" s="19" t="s">
        <v>13</v>
      </c>
      <c r="B3" s="15" t="s">
        <v>11</v>
      </c>
      <c r="C3" s="20">
        <v>0.55000000000000004</v>
      </c>
      <c r="D3" s="20">
        <v>0.9</v>
      </c>
      <c r="E3" s="18" t="s">
        <v>14</v>
      </c>
    </row>
    <row r="4" spans="1:12" ht="14.5">
      <c r="A4" s="15" t="s">
        <v>15</v>
      </c>
      <c r="B4" s="15" t="s">
        <v>16</v>
      </c>
      <c r="C4" s="18" t="s">
        <v>17</v>
      </c>
      <c r="D4" s="18" t="s">
        <v>18</v>
      </c>
      <c r="E4" s="18" t="s">
        <v>19</v>
      </c>
    </row>
    <row r="5" spans="1:12" ht="14.5">
      <c r="A5" s="15" t="s">
        <v>20</v>
      </c>
      <c r="B5" s="15" t="s">
        <v>21</v>
      </c>
      <c r="C5" s="18">
        <v>0</v>
      </c>
      <c r="D5" s="18">
        <v>4</v>
      </c>
      <c r="E5" s="18" t="s">
        <v>22</v>
      </c>
    </row>
    <row r="6" spans="1:12" ht="14.5">
      <c r="A6" s="16" t="s">
        <v>23</v>
      </c>
      <c r="B6" s="15" t="s">
        <v>16</v>
      </c>
      <c r="C6" s="18" t="s">
        <v>24</v>
      </c>
      <c r="D6" s="18" t="s">
        <v>25</v>
      </c>
      <c r="E6" s="18" t="s">
        <v>26</v>
      </c>
    </row>
    <row r="7" spans="1:12" ht="14.25" customHeight="1">
      <c r="A7" s="19" t="s">
        <v>27</v>
      </c>
      <c r="B7" s="15" t="s">
        <v>11</v>
      </c>
      <c r="C7" s="20">
        <v>0.2</v>
      </c>
      <c r="D7" s="20">
        <v>0.9</v>
      </c>
      <c r="E7" s="18" t="s">
        <v>28</v>
      </c>
      <c r="F7" s="10" t="s">
        <v>10</v>
      </c>
      <c r="G7" s="10"/>
      <c r="H7" s="10"/>
      <c r="I7" s="21"/>
    </row>
    <row r="8" spans="1:12" ht="14.5">
      <c r="A8" s="16" t="s">
        <v>29</v>
      </c>
      <c r="B8" s="15" t="s">
        <v>11</v>
      </c>
      <c r="C8" s="17">
        <v>0.65</v>
      </c>
      <c r="D8" s="17">
        <v>0.95</v>
      </c>
      <c r="E8" t="s">
        <v>30</v>
      </c>
      <c r="F8" s="22" t="s">
        <v>31</v>
      </c>
      <c r="G8" s="23" t="s">
        <v>32</v>
      </c>
      <c r="H8" s="24" t="s">
        <v>33</v>
      </c>
      <c r="I8" s="21" t="s">
        <v>34</v>
      </c>
      <c r="K8" s="25" t="s">
        <v>34</v>
      </c>
      <c r="L8" s="25" t="s">
        <v>33</v>
      </c>
    </row>
    <row r="9" spans="1:12" ht="14.5">
      <c r="A9" s="19" t="s">
        <v>35</v>
      </c>
      <c r="B9" s="15" t="s">
        <v>16</v>
      </c>
      <c r="C9" s="18" t="s">
        <v>36</v>
      </c>
      <c r="D9" s="18" t="s">
        <v>37</v>
      </c>
      <c r="E9" s="18" t="s">
        <v>38</v>
      </c>
      <c r="F9" s="26">
        <v>0.65</v>
      </c>
      <c r="G9" s="27">
        <v>0.95</v>
      </c>
      <c r="H9" s="28">
        <v>0.8</v>
      </c>
      <c r="I9" s="21">
        <v>0.5</v>
      </c>
      <c r="K9" s="29">
        <v>0.65</v>
      </c>
      <c r="L9" s="25">
        <v>0</v>
      </c>
    </row>
    <row r="10" spans="1:12" ht="14.5">
      <c r="F10" s="26">
        <f>F9</f>
        <v>0.65</v>
      </c>
      <c r="G10" s="27">
        <f>H9</f>
        <v>0.8</v>
      </c>
      <c r="H10" s="28">
        <v>0.72</v>
      </c>
      <c r="I10" s="21">
        <v>0.25</v>
      </c>
      <c r="K10" s="29">
        <v>0.72</v>
      </c>
      <c r="L10" s="25">
        <v>0.25</v>
      </c>
    </row>
    <row r="11" spans="1:12" ht="14.5">
      <c r="F11" s="30">
        <f>H9</f>
        <v>0.8</v>
      </c>
      <c r="G11" s="27">
        <f>G9</f>
        <v>0.95</v>
      </c>
      <c r="H11" s="28">
        <v>0.85</v>
      </c>
      <c r="I11" s="21">
        <v>0.75</v>
      </c>
      <c r="K11" s="29">
        <v>0.8</v>
      </c>
      <c r="L11" s="25">
        <v>0.5</v>
      </c>
    </row>
    <row r="12" spans="1:12" ht="14.5">
      <c r="F12" s="21"/>
      <c r="G12" s="31" t="s">
        <v>39</v>
      </c>
      <c r="H12" s="32">
        <v>0.65</v>
      </c>
      <c r="I12" s="21">
        <v>0</v>
      </c>
      <c r="K12" s="29">
        <v>0.85</v>
      </c>
      <c r="L12" s="25">
        <v>0.75</v>
      </c>
    </row>
    <row r="13" spans="1:12" ht="14.5">
      <c r="F13" s="21"/>
      <c r="G13" s="33" t="s">
        <v>40</v>
      </c>
      <c r="H13" s="34">
        <v>0.95</v>
      </c>
      <c r="I13" s="21">
        <v>1</v>
      </c>
      <c r="K13" s="29">
        <v>0.95</v>
      </c>
      <c r="L13" s="25">
        <v>1</v>
      </c>
    </row>
    <row r="14" spans="1:12" ht="14.5">
      <c r="F14" s="21"/>
      <c r="G14" s="21"/>
      <c r="H14" s="35">
        <v>0.82</v>
      </c>
      <c r="I14" s="21">
        <f>IF(H14&lt;H10,(I10-I12)/(H10-H12)*(H14-H12)+I12,IF(H14&lt;H9,(I9-I10)/(H9-H10)*(H14-H10)+I10,IF(H14&lt;H11,(I11-I9)/(H11-H9)*(H14-H9)+I9,(I13-I11)/(H13-H11)*(H14-H11)+I11)))</f>
        <v>0.59999999999999964</v>
      </c>
    </row>
    <row r="17" spans="2:15" ht="14.25" customHeight="1">
      <c r="F17" s="9" t="s">
        <v>13</v>
      </c>
      <c r="G17" s="9"/>
      <c r="H17" s="9"/>
      <c r="I17" s="21"/>
      <c r="N17" s="25" t="s">
        <v>33</v>
      </c>
      <c r="O17" s="25" t="s">
        <v>34</v>
      </c>
    </row>
    <row r="18" spans="2:15" ht="14.5">
      <c r="F18" s="36" t="s">
        <v>31</v>
      </c>
      <c r="G18" s="21" t="s">
        <v>32</v>
      </c>
      <c r="H18" s="37" t="s">
        <v>33</v>
      </c>
      <c r="I18" s="21" t="s">
        <v>34</v>
      </c>
      <c r="N18" s="38">
        <v>0.55000000000000004</v>
      </c>
      <c r="O18" s="25">
        <v>0</v>
      </c>
    </row>
    <row r="19" spans="2:15" ht="14.5">
      <c r="F19" s="26">
        <v>0.55000000000000004</v>
      </c>
      <c r="G19" s="27">
        <v>0.9</v>
      </c>
      <c r="H19" s="39">
        <v>0.72</v>
      </c>
      <c r="I19" s="21">
        <v>0.5</v>
      </c>
      <c r="N19" s="38">
        <v>0.65</v>
      </c>
      <c r="O19" s="25">
        <v>0.25</v>
      </c>
    </row>
    <row r="20" spans="2:15" ht="14.5">
      <c r="B20" s="40"/>
      <c r="C20" s="40"/>
      <c r="F20" s="26">
        <f>F19</f>
        <v>0.55000000000000004</v>
      </c>
      <c r="G20" s="27">
        <f>H19</f>
        <v>0.72</v>
      </c>
      <c r="H20" s="39">
        <v>0.65</v>
      </c>
      <c r="I20" s="21">
        <v>0.25</v>
      </c>
      <c r="N20" s="38">
        <v>0.72</v>
      </c>
      <c r="O20" s="25">
        <v>0.5</v>
      </c>
    </row>
    <row r="21" spans="2:15" ht="14.5">
      <c r="B21" s="40"/>
      <c r="C21" s="40"/>
      <c r="F21" s="30">
        <f>H19</f>
        <v>0.72</v>
      </c>
      <c r="G21" s="27">
        <f>G19</f>
        <v>0.9</v>
      </c>
      <c r="H21" s="39">
        <v>0.8</v>
      </c>
      <c r="I21" s="21">
        <v>0.75</v>
      </c>
      <c r="N21" s="38">
        <v>0.8</v>
      </c>
      <c r="O21" s="25">
        <v>0.75</v>
      </c>
    </row>
    <row r="22" spans="2:15" ht="14.5">
      <c r="F22" s="21"/>
      <c r="G22" s="31" t="s">
        <v>39</v>
      </c>
      <c r="H22" s="41">
        <v>0.55000000000000004</v>
      </c>
      <c r="I22" s="21">
        <v>0</v>
      </c>
      <c r="N22" s="38">
        <v>0.9</v>
      </c>
      <c r="O22" s="25">
        <v>1</v>
      </c>
    </row>
    <row r="23" spans="2:15" ht="14.25" customHeight="1">
      <c r="F23" s="21"/>
      <c r="G23" s="33" t="s">
        <v>40</v>
      </c>
      <c r="H23" s="39">
        <v>0.9</v>
      </c>
      <c r="I23" s="21">
        <v>1</v>
      </c>
    </row>
    <row r="24" spans="2:15" ht="14.5">
      <c r="F24" s="21"/>
      <c r="G24" s="21"/>
      <c r="H24" s="38">
        <v>0.55000000000000004</v>
      </c>
      <c r="I24" s="21">
        <f>IF(H24&lt;H20,(I20-I22)/(H20-H22)*(H24-H22)+I22,IF(H24&lt;H19,(I19-I20)/(H19-H20)*(H24-H20)+I20,IF(H24&lt;H21,(I21-I19)/(H21-H19)*(H24-H19)+I19,(I23-I21)/(H23-H21)*(H24-H21)+I21)))</f>
        <v>0</v>
      </c>
    </row>
    <row r="25" spans="2:15" ht="14.5">
      <c r="B25" s="40"/>
      <c r="C25" s="40"/>
      <c r="F25" s="21"/>
      <c r="H25" s="21"/>
    </row>
    <row r="26" spans="2:15" ht="14.5">
      <c r="B26" s="40"/>
      <c r="C26" s="40"/>
      <c r="F26" s="21"/>
    </row>
    <row r="27" spans="2:15" ht="14.5">
      <c r="F27" s="8" t="s">
        <v>15</v>
      </c>
      <c r="G27" s="8"/>
      <c r="H27" s="8"/>
      <c r="I27" s="42"/>
      <c r="J27" s="42"/>
      <c r="K27" t="s">
        <v>34</v>
      </c>
    </row>
    <row r="28" spans="2:15" ht="14.5">
      <c r="F28" s="43" t="s">
        <v>33</v>
      </c>
      <c r="G28" s="44" t="s">
        <v>31</v>
      </c>
      <c r="H28" s="44" t="s">
        <v>32</v>
      </c>
      <c r="I28" s="44" t="s">
        <v>41</v>
      </c>
      <c r="J28" s="44" t="s">
        <v>42</v>
      </c>
      <c r="K28" s="45"/>
    </row>
    <row r="29" spans="2:15" ht="14.25" customHeight="1">
      <c r="F29" s="46" t="s">
        <v>17</v>
      </c>
      <c r="G29" s="47"/>
      <c r="H29" s="47"/>
      <c r="I29" s="47"/>
      <c r="J29" s="47"/>
      <c r="K29" s="48">
        <v>0</v>
      </c>
    </row>
    <row r="30" spans="2:15" ht="14.5">
      <c r="F30" s="49" t="s">
        <v>43</v>
      </c>
      <c r="G30" s="47" t="s">
        <v>17</v>
      </c>
      <c r="H30" s="47" t="s">
        <v>18</v>
      </c>
      <c r="I30" s="50">
        <v>0.8</v>
      </c>
      <c r="J30" s="50">
        <v>0.2</v>
      </c>
      <c r="K30" s="51">
        <f>I30 * $K$29 + J30 * $K$33</f>
        <v>0.2</v>
      </c>
    </row>
    <row r="31" spans="2:15" ht="14.5">
      <c r="F31" s="49" t="s">
        <v>44</v>
      </c>
      <c r="G31" s="47" t="s">
        <v>17</v>
      </c>
      <c r="H31" s="47" t="s">
        <v>18</v>
      </c>
      <c r="I31" s="50">
        <v>0.6</v>
      </c>
      <c r="J31" s="50">
        <v>0.4</v>
      </c>
      <c r="K31" s="51">
        <f>I31 * $K$29 + J31 * $K$33</f>
        <v>0.4</v>
      </c>
    </row>
    <row r="32" spans="2:15" ht="14.5">
      <c r="F32" s="49" t="s">
        <v>45</v>
      </c>
      <c r="G32" s="47" t="s">
        <v>17</v>
      </c>
      <c r="H32" s="47" t="s">
        <v>18</v>
      </c>
      <c r="I32" s="50">
        <v>0.3</v>
      </c>
      <c r="J32" s="50">
        <v>0.7</v>
      </c>
      <c r="K32" s="51">
        <f>I32 * $K$29 + J32 * $K$33</f>
        <v>0.7</v>
      </c>
    </row>
    <row r="33" spans="6:11" ht="14.5">
      <c r="F33" s="52" t="s">
        <v>18</v>
      </c>
      <c r="G33" s="53"/>
      <c r="H33" s="53"/>
      <c r="I33" s="53"/>
      <c r="J33" s="53"/>
      <c r="K33" s="54">
        <v>1</v>
      </c>
    </row>
    <row r="34" spans="6:11" ht="14.5">
      <c r="F34" s="21"/>
      <c r="H34" s="21"/>
      <c r="I34" s="21"/>
    </row>
    <row r="36" spans="6:11" ht="14.5">
      <c r="F36" s="21"/>
      <c r="H36" s="21"/>
    </row>
    <row r="37" spans="6:11" ht="14.5">
      <c r="F37" s="7" t="s">
        <v>20</v>
      </c>
      <c r="G37" s="7"/>
      <c r="H37" s="7"/>
      <c r="I37" s="21"/>
      <c r="J37" s="21"/>
      <c r="K37" t="s">
        <v>34</v>
      </c>
    </row>
    <row r="38" spans="6:11" ht="14.5">
      <c r="F38" s="43" t="s">
        <v>33</v>
      </c>
      <c r="G38" s="44" t="s">
        <v>31</v>
      </c>
      <c r="H38" s="44" t="s">
        <v>32</v>
      </c>
      <c r="I38" s="44" t="s">
        <v>41</v>
      </c>
      <c r="J38" s="44" t="s">
        <v>42</v>
      </c>
      <c r="K38" s="45"/>
    </row>
    <row r="39" spans="6:11" ht="14.5">
      <c r="F39" s="46">
        <v>0</v>
      </c>
      <c r="G39" s="47"/>
      <c r="H39" s="47"/>
      <c r="I39" s="47"/>
      <c r="J39" s="47"/>
      <c r="K39" s="48">
        <v>0</v>
      </c>
    </row>
    <row r="40" spans="6:11" ht="14.5">
      <c r="F40" s="49">
        <v>1</v>
      </c>
      <c r="G40" s="47">
        <v>0</v>
      </c>
      <c r="H40" s="47">
        <v>4</v>
      </c>
      <c r="I40" s="50">
        <v>0.7</v>
      </c>
      <c r="J40" s="50">
        <v>0.3</v>
      </c>
      <c r="K40" s="51">
        <f>I40 * $K$29 + J40 * $K$33</f>
        <v>0.3</v>
      </c>
    </row>
    <row r="41" spans="6:11" ht="14.25" customHeight="1">
      <c r="F41" s="49">
        <v>2</v>
      </c>
      <c r="G41" s="47">
        <v>0</v>
      </c>
      <c r="H41" s="47">
        <v>4</v>
      </c>
      <c r="I41" s="50">
        <v>0.5</v>
      </c>
      <c r="J41" s="50">
        <v>0.5</v>
      </c>
      <c r="K41" s="51">
        <f>I41 * $K$29 + J41 * $K$33</f>
        <v>0.5</v>
      </c>
    </row>
    <row r="42" spans="6:11" ht="14.5">
      <c r="F42" s="49">
        <v>3</v>
      </c>
      <c r="G42" s="47">
        <v>0</v>
      </c>
      <c r="H42" s="47">
        <v>4</v>
      </c>
      <c r="I42" s="50">
        <v>0.2</v>
      </c>
      <c r="J42" s="50">
        <v>0.8</v>
      </c>
      <c r="K42" s="51">
        <f>I42 * $K$29 + J42 * $K$33</f>
        <v>0.8</v>
      </c>
    </row>
    <row r="43" spans="6:11" ht="14.5">
      <c r="F43" s="52">
        <v>4</v>
      </c>
      <c r="G43" s="53"/>
      <c r="H43" s="53"/>
      <c r="I43" s="53"/>
      <c r="J43" s="53"/>
      <c r="K43" s="54">
        <v>1</v>
      </c>
    </row>
    <row r="44" spans="6:11" ht="14.5">
      <c r="H44" s="21"/>
      <c r="I44" s="21"/>
    </row>
    <row r="45" spans="6:11" ht="14.5">
      <c r="F45" s="21"/>
      <c r="H45" s="21"/>
    </row>
    <row r="47" spans="6:11" ht="14.25" customHeight="1">
      <c r="F47" s="7" t="s">
        <v>46</v>
      </c>
      <c r="G47" s="7"/>
      <c r="H47" s="7"/>
      <c r="I47" s="21"/>
      <c r="J47" s="21"/>
      <c r="K47" t="s">
        <v>34</v>
      </c>
    </row>
    <row r="48" spans="6:11" ht="14.5">
      <c r="F48" s="43" t="s">
        <v>33</v>
      </c>
      <c r="G48" s="44" t="s">
        <v>31</v>
      </c>
      <c r="H48" s="44" t="s">
        <v>32</v>
      </c>
      <c r="I48" s="44" t="s">
        <v>41</v>
      </c>
      <c r="J48" s="44" t="s">
        <v>42</v>
      </c>
      <c r="K48" s="45"/>
    </row>
    <row r="49" spans="6:12" ht="14.5">
      <c r="F49" s="46" t="s">
        <v>24</v>
      </c>
      <c r="G49" s="47"/>
      <c r="H49" s="47"/>
      <c r="I49" s="47"/>
      <c r="J49" s="47"/>
      <c r="K49" s="48">
        <v>0</v>
      </c>
    </row>
    <row r="50" spans="6:12" ht="14.5">
      <c r="F50" s="49" t="s">
        <v>47</v>
      </c>
      <c r="G50" s="46" t="s">
        <v>24</v>
      </c>
      <c r="H50" s="47" t="s">
        <v>25</v>
      </c>
      <c r="I50" s="50">
        <v>0.5</v>
      </c>
      <c r="J50" s="50">
        <v>0.5</v>
      </c>
      <c r="K50" s="51">
        <f>I50 * $K$29 + J50 * $K$33</f>
        <v>0.5</v>
      </c>
    </row>
    <row r="51" spans="6:12" ht="14.5">
      <c r="F51" s="49" t="s">
        <v>48</v>
      </c>
      <c r="G51" s="46" t="s">
        <v>24</v>
      </c>
      <c r="H51" s="47" t="s">
        <v>25</v>
      </c>
      <c r="I51" s="50">
        <v>0.25</v>
      </c>
      <c r="J51" s="50">
        <v>0.75</v>
      </c>
      <c r="K51" s="51">
        <f>I51 * $K$29 + J51 * $K$33</f>
        <v>0.75</v>
      </c>
    </row>
    <row r="52" spans="6:12" ht="14.5">
      <c r="F52" s="52" t="s">
        <v>25</v>
      </c>
      <c r="G52" s="53"/>
      <c r="H52" s="53"/>
      <c r="I52" s="53"/>
      <c r="J52" s="53"/>
      <c r="K52" s="54">
        <v>1</v>
      </c>
    </row>
    <row r="54" spans="6:12" ht="14.5">
      <c r="F54" s="21"/>
      <c r="H54" s="21"/>
      <c r="I54" s="21"/>
    </row>
    <row r="55" spans="6:12" ht="14.5">
      <c r="F55" s="21"/>
      <c r="H55" s="21"/>
    </row>
    <row r="56" spans="6:12" ht="14.5">
      <c r="F56" s="21"/>
      <c r="H56" s="21"/>
    </row>
    <row r="57" spans="6:12" ht="14.5">
      <c r="F57" s="9" t="s">
        <v>27</v>
      </c>
      <c r="G57" s="9"/>
      <c r="H57" s="9"/>
      <c r="I57" s="21"/>
    </row>
    <row r="58" spans="6:12" ht="14.5">
      <c r="F58" s="22" t="s">
        <v>31</v>
      </c>
      <c r="G58" s="23" t="s">
        <v>32</v>
      </c>
      <c r="H58" s="24" t="s">
        <v>33</v>
      </c>
      <c r="I58" s="21" t="s">
        <v>34</v>
      </c>
      <c r="K58" s="24" t="s">
        <v>33</v>
      </c>
      <c r="L58" s="21" t="s">
        <v>34</v>
      </c>
    </row>
    <row r="59" spans="6:12" ht="14.5">
      <c r="F59" s="26">
        <v>0.2</v>
      </c>
      <c r="G59" s="27">
        <v>0.9</v>
      </c>
      <c r="H59" s="39">
        <v>0.45</v>
      </c>
      <c r="I59" s="21">
        <v>0.5</v>
      </c>
      <c r="K59" s="41">
        <v>0.2</v>
      </c>
      <c r="L59" s="21">
        <v>0</v>
      </c>
    </row>
    <row r="60" spans="6:12" ht="14.5">
      <c r="F60" s="26">
        <f>F59</f>
        <v>0.2</v>
      </c>
      <c r="G60" s="27">
        <f>H59</f>
        <v>0.45</v>
      </c>
      <c r="H60" s="39">
        <v>0.3</v>
      </c>
      <c r="I60" s="21">
        <v>0.25</v>
      </c>
      <c r="K60" s="39">
        <v>0.3</v>
      </c>
      <c r="L60" s="21">
        <v>0.25</v>
      </c>
    </row>
    <row r="61" spans="6:12" ht="14.5">
      <c r="F61" s="30">
        <f>H59</f>
        <v>0.45</v>
      </c>
      <c r="G61" s="27">
        <f>G59</f>
        <v>0.9</v>
      </c>
      <c r="H61" s="39">
        <v>0.75</v>
      </c>
      <c r="I61" s="21">
        <v>0.75</v>
      </c>
      <c r="K61" s="39">
        <v>0.45</v>
      </c>
      <c r="L61" s="21">
        <v>0.5</v>
      </c>
    </row>
    <row r="62" spans="6:12" ht="14.5">
      <c r="F62" s="21"/>
      <c r="G62" s="31" t="s">
        <v>39</v>
      </c>
      <c r="H62" s="41">
        <v>0.2</v>
      </c>
      <c r="I62" s="21">
        <v>0</v>
      </c>
      <c r="K62" s="39">
        <v>0.75</v>
      </c>
      <c r="L62" s="21">
        <v>0.75</v>
      </c>
    </row>
    <row r="63" spans="6:12" ht="14.5">
      <c r="F63" s="21"/>
      <c r="G63" s="33" t="s">
        <v>40</v>
      </c>
      <c r="H63" s="39">
        <v>0.9</v>
      </c>
      <c r="I63" s="21">
        <v>1</v>
      </c>
      <c r="K63" s="39">
        <v>0.9</v>
      </c>
      <c r="L63" s="21">
        <v>1</v>
      </c>
    </row>
    <row r="64" spans="6:12" ht="14.5">
      <c r="F64" s="21"/>
      <c r="G64" s="21"/>
      <c r="H64" s="38">
        <v>0.8</v>
      </c>
      <c r="I64" s="21">
        <f>IF(H64&lt;H60,(I60-I62)/(H60-H62)*(H64-H62)+I62,IF(H64&lt;H59,(I59-I60)/(H59-H60)*(H64-H60)+I60,IF(H64&lt;H61,(I61-I59)/(H61-H59)*(H64-H59)+I59,(I63-I61)/(H63-H61)*(H64-H61)+I61)))</f>
        <v>0.83333333333333337</v>
      </c>
    </row>
    <row r="67" spans="6:12" ht="14.5">
      <c r="F67" s="9" t="s">
        <v>29</v>
      </c>
      <c r="G67" s="9"/>
      <c r="H67" s="9"/>
      <c r="I67" s="21"/>
    </row>
    <row r="68" spans="6:12" ht="14.5">
      <c r="F68" s="22" t="s">
        <v>31</v>
      </c>
      <c r="G68" s="23" t="s">
        <v>32</v>
      </c>
      <c r="H68" s="24" t="s">
        <v>33</v>
      </c>
      <c r="I68" s="21" t="s">
        <v>34</v>
      </c>
      <c r="K68" s="24" t="s">
        <v>33</v>
      </c>
      <c r="L68" s="21" t="s">
        <v>34</v>
      </c>
    </row>
    <row r="69" spans="6:12" ht="14.5">
      <c r="F69" s="26">
        <v>0.65</v>
      </c>
      <c r="G69" s="27">
        <v>0.95</v>
      </c>
      <c r="H69" s="39">
        <v>0.82</v>
      </c>
      <c r="I69" s="21">
        <v>0.5</v>
      </c>
      <c r="K69" s="41">
        <v>0.65</v>
      </c>
      <c r="L69" s="21">
        <v>0</v>
      </c>
    </row>
    <row r="70" spans="6:12" ht="14.5">
      <c r="F70" s="26">
        <f>F69</f>
        <v>0.65</v>
      </c>
      <c r="G70" s="27">
        <f>H69</f>
        <v>0.82</v>
      </c>
      <c r="H70" s="39">
        <v>0.71</v>
      </c>
      <c r="I70" s="21">
        <v>0.25</v>
      </c>
      <c r="K70" s="39">
        <v>0.71</v>
      </c>
      <c r="L70" s="21">
        <v>0.25</v>
      </c>
    </row>
    <row r="71" spans="6:12" ht="14.5">
      <c r="F71" s="30">
        <f>H69</f>
        <v>0.82</v>
      </c>
      <c r="G71" s="27">
        <f>G69</f>
        <v>0.95</v>
      </c>
      <c r="H71" s="39">
        <v>0.9</v>
      </c>
      <c r="I71" s="21">
        <v>0.75</v>
      </c>
      <c r="K71" s="39">
        <v>0.82</v>
      </c>
      <c r="L71" s="21">
        <v>0.5</v>
      </c>
    </row>
    <row r="72" spans="6:12" ht="14.5">
      <c r="F72" s="21"/>
      <c r="G72" s="31" t="s">
        <v>39</v>
      </c>
      <c r="H72" s="41">
        <v>0.65</v>
      </c>
      <c r="I72" s="21">
        <v>0</v>
      </c>
      <c r="K72" s="39">
        <v>0.9</v>
      </c>
      <c r="L72" s="21">
        <v>0.75</v>
      </c>
    </row>
    <row r="73" spans="6:12" ht="14.5">
      <c r="F73" s="21"/>
      <c r="G73" s="33" t="s">
        <v>40</v>
      </c>
      <c r="H73" s="39">
        <v>0.95</v>
      </c>
      <c r="I73" s="21">
        <v>1</v>
      </c>
      <c r="K73" s="39">
        <v>0.95</v>
      </c>
      <c r="L73" s="21">
        <v>1</v>
      </c>
    </row>
    <row r="74" spans="6:12" ht="14.5">
      <c r="F74" s="21"/>
      <c r="G74" s="21"/>
      <c r="H74" s="38">
        <v>0.8</v>
      </c>
      <c r="I74" s="21">
        <f>IF(H74&lt;H70,(I70-I72)/(H70-H72)*(H74-H72)+I72,IF(H74&lt;H69,(I69-I70)/(H69-H70)*(H74-H70)+I70,IF(H74&lt;H71,(I71-I69)/(H71-H69)*(H74-H69)+I69,(I73-I71)/(H73-H71)*(H74-H71)+I71)))</f>
        <v>0.45454545454545475</v>
      </c>
    </row>
    <row r="77" spans="6:12" ht="14.5">
      <c r="F77" s="7" t="s">
        <v>49</v>
      </c>
      <c r="G77" s="7"/>
      <c r="H77" s="7"/>
      <c r="I77" s="21"/>
      <c r="J77" s="21"/>
      <c r="K77" t="s">
        <v>34</v>
      </c>
    </row>
    <row r="78" spans="6:12" ht="14.5">
      <c r="F78" s="43" t="s">
        <v>33</v>
      </c>
      <c r="G78" s="44" t="s">
        <v>31</v>
      </c>
      <c r="H78" s="44" t="s">
        <v>32</v>
      </c>
      <c r="I78" s="44" t="s">
        <v>41</v>
      </c>
      <c r="J78" s="44" t="s">
        <v>42</v>
      </c>
      <c r="K78" s="45"/>
    </row>
    <row r="79" spans="6:12" ht="14.5">
      <c r="F79" s="46">
        <v>1</v>
      </c>
      <c r="G79" s="47"/>
      <c r="H79" s="47"/>
      <c r="I79" s="47"/>
      <c r="J79" s="47"/>
      <c r="K79" s="48">
        <v>0</v>
      </c>
    </row>
    <row r="80" spans="6:12" ht="14.5">
      <c r="F80" s="49">
        <v>2</v>
      </c>
      <c r="G80" s="47">
        <v>1</v>
      </c>
      <c r="H80" s="47">
        <v>5</v>
      </c>
      <c r="I80" s="50">
        <v>0.8</v>
      </c>
      <c r="J80" s="50">
        <v>0.2</v>
      </c>
      <c r="K80" s="51">
        <f>I80 * $K$29 + J80 * $K$33</f>
        <v>0.2</v>
      </c>
    </row>
    <row r="81" spans="1:11" ht="14.5">
      <c r="F81" s="49">
        <v>3</v>
      </c>
      <c r="G81" s="47">
        <v>1</v>
      </c>
      <c r="H81" s="47">
        <v>5</v>
      </c>
      <c r="I81" s="50">
        <v>0.65</v>
      </c>
      <c r="J81" s="50">
        <v>0.35</v>
      </c>
      <c r="K81" s="51">
        <f>I81 * $K$29 + J81 * $K$33</f>
        <v>0.35</v>
      </c>
    </row>
    <row r="82" spans="1:11" ht="14.5">
      <c r="F82" s="49">
        <v>4</v>
      </c>
      <c r="G82" s="47">
        <v>1</v>
      </c>
      <c r="H82" s="47">
        <v>5</v>
      </c>
      <c r="I82" s="50">
        <v>0.3</v>
      </c>
      <c r="J82" s="50">
        <v>0.7</v>
      </c>
      <c r="K82" s="51">
        <f>I82 * $K$29 + J82 * $K$33</f>
        <v>0.7</v>
      </c>
    </row>
    <row r="83" spans="1:11" ht="14.5">
      <c r="F83" s="52">
        <v>5</v>
      </c>
      <c r="G83" s="53"/>
      <c r="H83" s="53"/>
      <c r="I83" s="53"/>
      <c r="J83" s="53"/>
      <c r="K83" s="54">
        <v>1</v>
      </c>
    </row>
    <row r="84" spans="1:11" ht="14.5">
      <c r="F84" s="21"/>
      <c r="H84" s="21"/>
      <c r="I84" s="21"/>
    </row>
    <row r="92" spans="1:11" ht="14.5">
      <c r="A92" s="15"/>
      <c r="B92" s="15"/>
      <c r="C92" s="15"/>
      <c r="D92" s="15"/>
      <c r="E92" s="15"/>
    </row>
    <row r="93" spans="1:11" ht="14.5">
      <c r="A93" s="15"/>
      <c r="B93" s="15"/>
      <c r="C93" s="55"/>
      <c r="D93" s="55"/>
      <c r="E93" s="15"/>
    </row>
    <row r="94" spans="1:11" ht="14.5">
      <c r="A94" s="15"/>
      <c r="B94" s="15"/>
      <c r="C94" s="55"/>
      <c r="D94" s="55"/>
      <c r="E94" s="15"/>
    </row>
    <row r="95" spans="1:11" ht="14.5">
      <c r="A95" s="15"/>
      <c r="B95" s="15"/>
      <c r="C95" s="18"/>
      <c r="D95" s="18"/>
      <c r="E95" s="15"/>
    </row>
    <row r="96" spans="1:11" ht="14.5">
      <c r="A96" s="15"/>
      <c r="B96" s="15"/>
      <c r="C96" s="18"/>
      <c r="D96" s="18"/>
      <c r="E96" s="15"/>
    </row>
    <row r="97" spans="1:5" ht="14.5">
      <c r="A97" s="15"/>
      <c r="B97" s="15"/>
      <c r="C97" s="18"/>
      <c r="D97" s="18"/>
      <c r="E97" s="15"/>
    </row>
    <row r="98" spans="1:5" ht="14.5">
      <c r="A98" s="15"/>
      <c r="B98" s="15"/>
      <c r="C98" s="56"/>
      <c r="D98" s="56"/>
      <c r="E98" s="15"/>
    </row>
    <row r="99" spans="1:5" ht="14.5">
      <c r="A99" s="15"/>
      <c r="B99" s="15"/>
      <c r="C99" s="18"/>
      <c r="D99" s="18"/>
      <c r="E99" s="15"/>
    </row>
    <row r="100" spans="1:5" ht="14.5">
      <c r="A100" s="15"/>
      <c r="B100" s="15"/>
      <c r="C100" s="18"/>
      <c r="D100" s="18"/>
      <c r="E100" s="15"/>
    </row>
    <row r="103" spans="1:5" ht="14.5">
      <c r="A103" s="15"/>
      <c r="B103" s="15"/>
      <c r="C103" s="15"/>
      <c r="D103" s="15"/>
      <c r="E103" s="15"/>
    </row>
    <row r="104" spans="1:5" ht="14.5">
      <c r="B104" s="15"/>
      <c r="C104" s="40"/>
      <c r="D104" s="40"/>
      <c r="E104" s="15"/>
    </row>
    <row r="105" spans="1:5" ht="14.5">
      <c r="B105" s="15"/>
      <c r="C105" s="40"/>
      <c r="D105" s="40"/>
      <c r="E105" s="15"/>
    </row>
    <row r="106" spans="1:5" ht="14.5">
      <c r="A106" s="15"/>
      <c r="B106" s="15"/>
      <c r="C106" s="18"/>
      <c r="D106" s="18"/>
      <c r="E106" s="15"/>
    </row>
    <row r="107" spans="1:5" ht="14.5">
      <c r="A107" s="15"/>
      <c r="B107" s="15"/>
      <c r="C107" s="18"/>
      <c r="D107" s="18"/>
      <c r="E107" s="15"/>
    </row>
    <row r="108" spans="1:5" ht="14.5">
      <c r="B108" s="15"/>
      <c r="C108" s="18"/>
      <c r="D108" s="18"/>
      <c r="E108" s="15"/>
    </row>
    <row r="109" spans="1:5" ht="14.5">
      <c r="B109" s="15"/>
      <c r="C109" s="40"/>
      <c r="D109" s="40"/>
    </row>
    <row r="110" spans="1:5" ht="14.5">
      <c r="B110" s="15"/>
      <c r="C110" s="40"/>
      <c r="D110" s="40"/>
    </row>
    <row r="111" spans="1:5" ht="14.5">
      <c r="B111" s="15"/>
      <c r="C111" s="18"/>
      <c r="D111" s="18"/>
      <c r="E111" s="15"/>
    </row>
  </sheetData>
  <mergeCells count="8">
    <mergeCell ref="F57:H57"/>
    <mergeCell ref="F67:H67"/>
    <mergeCell ref="F77:H77"/>
    <mergeCell ref="F7:H7"/>
    <mergeCell ref="F17:H17"/>
    <mergeCell ref="F27:H27"/>
    <mergeCell ref="F37:H37"/>
    <mergeCell ref="F47:H47"/>
  </mergeCells>
  <pageMargins left="0.7" right="0.7" top="0.75" bottom="0.75" header="0.511811023622047" footer="0.511811023622047"/>
  <pageSetup paperSize="9" orientation="portrait" horizontalDpi="300" verticalDpi="300"/>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1"/>
  <sheetViews>
    <sheetView tabSelected="1" zoomScaleNormal="100" workbookViewId="0">
      <selection activeCell="H8" sqref="H8"/>
    </sheetView>
  </sheetViews>
  <sheetFormatPr defaultColWidth="11.453125" defaultRowHeight="14.25" customHeight="1"/>
  <cols>
    <col min="1" max="1" width="30.453125" customWidth="1"/>
    <col min="2" max="2" width="33.453125" customWidth="1"/>
    <col min="3" max="3" width="4.81640625" customWidth="1"/>
    <col min="4" max="4" width="4.26953125" customWidth="1"/>
  </cols>
  <sheetData>
    <row r="1" spans="1:7" ht="15" customHeight="1">
      <c r="A1" s="57" t="s">
        <v>50</v>
      </c>
      <c r="B1" s="58" t="s">
        <v>51</v>
      </c>
      <c r="C1" s="58" t="s">
        <v>52</v>
      </c>
      <c r="D1" s="58" t="s">
        <v>53</v>
      </c>
      <c r="E1" s="59" t="s">
        <v>54</v>
      </c>
    </row>
    <row r="2" spans="1:7" ht="15" customHeight="1">
      <c r="A2" s="60" t="s">
        <v>55</v>
      </c>
      <c r="B2" s="61" t="s">
        <v>56</v>
      </c>
      <c r="C2" s="62"/>
      <c r="D2" s="62"/>
      <c r="E2" s="63"/>
      <c r="G2" s="64">
        <f>1/8</f>
        <v>0.125</v>
      </c>
    </row>
    <row r="3" spans="1:7" ht="14.5">
      <c r="A3" s="65" t="s">
        <v>10</v>
      </c>
      <c r="B3" s="66" t="s">
        <v>57</v>
      </c>
      <c r="C3" s="67">
        <v>5</v>
      </c>
      <c r="D3">
        <f t="shared" ref="D3:D10" si="0">C3^(-1)</f>
        <v>0.2</v>
      </c>
      <c r="E3" s="68">
        <f t="shared" ref="E3:E10" si="1">(SUMIF($C$3:$C$10,"&gt;="&amp;C3,$D$3:$D$10))*$G$2</f>
        <v>7.9315476190476186E-2</v>
      </c>
    </row>
    <row r="4" spans="1:7" ht="14.5">
      <c r="A4" s="69" t="s">
        <v>13</v>
      </c>
      <c r="B4" s="70" t="s">
        <v>58</v>
      </c>
      <c r="C4" s="67">
        <v>2</v>
      </c>
      <c r="D4">
        <f t="shared" si="0"/>
        <v>0.5</v>
      </c>
      <c r="E4" s="68">
        <f t="shared" si="1"/>
        <v>0.21473214285714284</v>
      </c>
    </row>
    <row r="5" spans="1:7" ht="14.5">
      <c r="A5" s="69" t="s">
        <v>15</v>
      </c>
      <c r="B5" s="70" t="s">
        <v>59</v>
      </c>
      <c r="C5" s="67">
        <v>4</v>
      </c>
      <c r="D5">
        <f t="shared" si="0"/>
        <v>0.25</v>
      </c>
      <c r="E5" s="68">
        <f t="shared" si="1"/>
        <v>0.11056547619047619</v>
      </c>
    </row>
    <row r="6" spans="1:7" ht="14.5">
      <c r="A6" s="69" t="s">
        <v>20</v>
      </c>
      <c r="B6" s="70" t="s">
        <v>60</v>
      </c>
      <c r="C6" s="67">
        <v>7</v>
      </c>
      <c r="D6">
        <f t="shared" si="0"/>
        <v>0.14285714285714285</v>
      </c>
      <c r="E6" s="68">
        <f t="shared" si="1"/>
        <v>3.3482142857142856E-2</v>
      </c>
    </row>
    <row r="7" spans="1:7" ht="14.5">
      <c r="A7" s="69" t="s">
        <v>23</v>
      </c>
      <c r="B7" s="70" t="s">
        <v>61</v>
      </c>
      <c r="C7" s="67">
        <v>8</v>
      </c>
      <c r="D7">
        <f t="shared" si="0"/>
        <v>0.125</v>
      </c>
      <c r="E7" s="68">
        <f t="shared" si="1"/>
        <v>1.5625E-2</v>
      </c>
    </row>
    <row r="8" spans="1:7" ht="14.5">
      <c r="A8" s="69" t="s">
        <v>27</v>
      </c>
      <c r="B8" s="70" t="s">
        <v>62</v>
      </c>
      <c r="C8" s="67">
        <v>6</v>
      </c>
      <c r="D8">
        <f t="shared" si="0"/>
        <v>0.16666666666666666</v>
      </c>
      <c r="E8" s="68">
        <f t="shared" si="1"/>
        <v>5.4315476190476192E-2</v>
      </c>
    </row>
    <row r="9" spans="1:7" ht="14.5">
      <c r="A9" s="69" t="s">
        <v>29</v>
      </c>
      <c r="B9" s="70" t="s">
        <v>63</v>
      </c>
      <c r="C9" s="67">
        <v>1</v>
      </c>
      <c r="D9">
        <f t="shared" si="0"/>
        <v>1</v>
      </c>
      <c r="E9" s="68">
        <f t="shared" si="1"/>
        <v>0.33973214285714287</v>
      </c>
    </row>
    <row r="10" spans="1:7" ht="15" customHeight="1">
      <c r="A10" s="71" t="s">
        <v>35</v>
      </c>
      <c r="B10" s="72" t="s">
        <v>64</v>
      </c>
      <c r="C10" s="67">
        <v>3</v>
      </c>
      <c r="D10">
        <f t="shared" si="0"/>
        <v>0.33333333333333331</v>
      </c>
      <c r="E10" s="68">
        <f t="shared" si="1"/>
        <v>0.15223214285714284</v>
      </c>
    </row>
    <row r="11" spans="1:7" ht="15" customHeight="1">
      <c r="A11" s="73"/>
      <c r="B11" s="74"/>
      <c r="C11" s="75" t="s">
        <v>65</v>
      </c>
      <c r="D11" s="75">
        <v>0</v>
      </c>
      <c r="E11" s="76">
        <f>SUM(E3:E10)</f>
        <v>0.99999999999999989</v>
      </c>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78"/>
  <sheetViews>
    <sheetView topLeftCell="I3" zoomScaleNormal="100" workbookViewId="0">
      <selection activeCell="S6" sqref="S6"/>
    </sheetView>
  </sheetViews>
  <sheetFormatPr defaultColWidth="8.81640625" defaultRowHeight="14.25" customHeight="1"/>
  <cols>
    <col min="2" max="2" width="46.54296875" customWidth="1"/>
    <col min="3" max="3" width="47.1796875" customWidth="1"/>
    <col min="4" max="4" width="40.453125" customWidth="1"/>
    <col min="5" max="5" width="38.7265625" customWidth="1"/>
    <col min="6" max="6" width="41.81640625" customWidth="1"/>
    <col min="7" max="7" width="25" customWidth="1"/>
    <col min="8" max="8" width="41.1796875" customWidth="1"/>
    <col min="9" max="9" width="49.26953125" customWidth="1"/>
    <col min="10" max="10" width="41.453125" customWidth="1"/>
    <col min="11" max="11" width="3" customWidth="1"/>
    <col min="12" max="12" width="46.54296875" customWidth="1"/>
    <col min="13" max="13" width="47.1796875" customWidth="1"/>
    <col min="14" max="14" width="40.453125" customWidth="1"/>
    <col min="15" max="15" width="38.7265625" customWidth="1"/>
    <col min="16" max="16" width="41.81640625" customWidth="1"/>
    <col min="17" max="17" width="25" customWidth="1"/>
    <col min="18" max="18" width="41.1796875" customWidth="1"/>
    <col min="19" max="19" width="49.26953125" customWidth="1"/>
    <col min="20" max="20" width="41.453125" customWidth="1"/>
  </cols>
  <sheetData>
    <row r="1" spans="1:26" ht="14.5">
      <c r="A1" s="77"/>
      <c r="B1" s="77"/>
      <c r="C1" s="77"/>
      <c r="D1" s="77"/>
      <c r="E1" s="77"/>
      <c r="F1" s="77"/>
      <c r="G1" s="77"/>
      <c r="H1" s="77"/>
      <c r="I1" s="77"/>
      <c r="J1" s="77"/>
      <c r="K1" s="77"/>
      <c r="L1" s="77"/>
      <c r="M1" s="77"/>
      <c r="N1" s="77"/>
      <c r="O1" s="77"/>
      <c r="P1" s="77"/>
      <c r="Q1" s="77"/>
      <c r="R1" s="77"/>
      <c r="S1" s="77"/>
      <c r="T1" s="77"/>
      <c r="U1" s="77"/>
      <c r="V1" s="77"/>
      <c r="W1" s="77"/>
      <c r="X1" s="77"/>
      <c r="Y1" s="77"/>
      <c r="Z1" s="77"/>
    </row>
    <row r="2" spans="1:26" ht="15.5">
      <c r="A2" s="77"/>
      <c r="B2" s="77"/>
      <c r="C2" s="77"/>
      <c r="D2" s="77"/>
      <c r="E2" s="77"/>
      <c r="F2" s="77"/>
      <c r="G2" s="77"/>
      <c r="H2" s="77"/>
      <c r="I2" s="77"/>
      <c r="J2" s="77"/>
      <c r="K2" s="77"/>
      <c r="L2" s="78" t="s">
        <v>66</v>
      </c>
      <c r="M2" s="77"/>
      <c r="N2" s="77"/>
      <c r="O2" s="77"/>
      <c r="P2" s="77"/>
      <c r="Q2" s="77"/>
      <c r="R2" s="77"/>
      <c r="S2" s="77"/>
      <c r="T2" s="77"/>
      <c r="U2" s="77"/>
      <c r="V2" s="77"/>
      <c r="W2" s="77"/>
      <c r="X2" s="77"/>
      <c r="Y2" s="77"/>
      <c r="Z2" s="77"/>
    </row>
    <row r="3" spans="1:26" ht="14.5">
      <c r="A3" s="77"/>
      <c r="B3" s="77"/>
      <c r="C3" s="77"/>
      <c r="D3" s="77"/>
      <c r="E3" s="77"/>
      <c r="F3" s="77"/>
      <c r="G3" s="77"/>
      <c r="H3" s="77"/>
      <c r="I3" s="77"/>
      <c r="J3" s="77"/>
      <c r="K3" s="77"/>
      <c r="L3" s="77"/>
      <c r="M3" s="77"/>
      <c r="N3" s="77"/>
      <c r="O3" s="77"/>
      <c r="P3" s="77"/>
      <c r="Q3" s="77"/>
      <c r="R3" s="77"/>
      <c r="S3" s="77"/>
      <c r="T3" s="77"/>
      <c r="U3" s="77"/>
      <c r="V3" s="77"/>
      <c r="W3" s="77"/>
      <c r="X3" s="77"/>
      <c r="Y3" s="77"/>
      <c r="Z3" s="77"/>
    </row>
    <row r="4" spans="1:26" ht="15" customHeight="1">
      <c r="A4" s="77"/>
      <c r="B4" s="13" t="s">
        <v>67</v>
      </c>
      <c r="C4" s="13"/>
      <c r="D4" s="13"/>
      <c r="E4" s="13"/>
      <c r="F4" s="13"/>
      <c r="G4" s="13"/>
      <c r="H4" s="13"/>
      <c r="I4" s="13"/>
      <c r="J4" s="13"/>
      <c r="K4" s="77"/>
      <c r="L4" s="13" t="s">
        <v>68</v>
      </c>
      <c r="M4" s="13"/>
      <c r="N4" s="13"/>
      <c r="O4" s="13"/>
      <c r="P4" s="13"/>
      <c r="Q4" s="13"/>
      <c r="R4" s="13"/>
      <c r="S4" s="13"/>
      <c r="T4" s="13"/>
      <c r="U4" s="77"/>
      <c r="V4" s="77"/>
      <c r="W4" s="77"/>
      <c r="X4" s="77"/>
      <c r="Y4" s="77"/>
      <c r="Z4" s="77"/>
    </row>
    <row r="5" spans="1:26" ht="14.5">
      <c r="A5" s="77"/>
      <c r="B5" s="79" t="s">
        <v>69</v>
      </c>
      <c r="C5" s="80" t="s">
        <v>70</v>
      </c>
      <c r="D5" s="80" t="s">
        <v>71</v>
      </c>
      <c r="E5" s="80" t="s">
        <v>15</v>
      </c>
      <c r="F5" s="80" t="s">
        <v>72</v>
      </c>
      <c r="G5" s="80" t="s">
        <v>23</v>
      </c>
      <c r="H5" s="80" t="s">
        <v>73</v>
      </c>
      <c r="I5" s="80" t="s">
        <v>74</v>
      </c>
      <c r="J5" s="80" t="s">
        <v>75</v>
      </c>
      <c r="K5" s="77"/>
      <c r="L5" s="79" t="s">
        <v>69</v>
      </c>
      <c r="M5" s="80" t="s">
        <v>70</v>
      </c>
      <c r="N5" s="80" t="s">
        <v>71</v>
      </c>
      <c r="O5" s="80" t="s">
        <v>15</v>
      </c>
      <c r="P5" s="80" t="s">
        <v>72</v>
      </c>
      <c r="Q5" s="80" t="s">
        <v>23</v>
      </c>
      <c r="R5" s="80" t="s">
        <v>73</v>
      </c>
      <c r="S5" s="80" t="s">
        <v>74</v>
      </c>
      <c r="T5" s="80" t="s">
        <v>75</v>
      </c>
      <c r="U5" s="77"/>
      <c r="V5" s="77"/>
      <c r="W5" s="77"/>
      <c r="X5" s="77"/>
      <c r="Y5" s="77"/>
      <c r="Z5" s="77"/>
    </row>
    <row r="6" spans="1:26" ht="15" customHeight="1">
      <c r="A6" s="77"/>
      <c r="B6" s="79" t="s">
        <v>76</v>
      </c>
      <c r="C6" s="81">
        <v>0.82</v>
      </c>
      <c r="D6" s="81">
        <v>0.78</v>
      </c>
      <c r="E6" s="82" t="s">
        <v>45</v>
      </c>
      <c r="F6" s="82">
        <v>3</v>
      </c>
      <c r="G6" s="82" t="s">
        <v>47</v>
      </c>
      <c r="H6" s="81">
        <v>0.4</v>
      </c>
      <c r="I6" s="81">
        <v>0.82</v>
      </c>
      <c r="J6" s="82">
        <v>3</v>
      </c>
      <c r="K6" s="77"/>
      <c r="L6" s="79" t="str">
        <f t="shared" ref="L6:L12" si="0">B6</f>
        <v>AI-Enabled Student Guidance</v>
      </c>
      <c r="M6" s="83">
        <f>IF(C6&lt;'Elicitation of functions'!$H$10,('Elicitation of functions'!$I$10-'Elicitation of functions'!$I$12)/('Elicitation of functions'!$H$10-'Elicitation of functions'!$H$12)*(C6-'Elicitation of functions'!$H$12)+'Elicitation of functions'!$I$12,IF(C6&lt;'Elicitation of functions'!$H$9,('Elicitation of functions'!$I$9-'Elicitation of functions'!$I$10)/('Elicitation of functions'!$H$9-'Elicitation of functions'!$H$10)*(C6-'Elicitation of functions'!$H$10)+'Elicitation of functions'!$I$10,IF(C6&lt;'Elicitation of functions'!$H$11,('Elicitation of functions'!$I$11-'Elicitation of functions'!$I$9)/('Elicitation of functions'!$H$11-'Elicitation of functions'!$H$9)*(C6-'Elicitation of functions'!$H$9)+'Elicitation of functions'!$I$9,('Elicitation of functions'!$I$13-'Elicitation of functions'!$I$11)/('Elicitation of functions'!$H$13-'Elicitation of functions'!$H$11)*(C6-'Elicitation of functions'!$H$11)+'Elicitation of functions'!$I$11)))</f>
        <v>0.59999999999999964</v>
      </c>
      <c r="N6" s="83">
        <f>IF(D6&lt;'Elicitation of functions'!$H$20,('Elicitation of functions'!$I$20-'Elicitation of functions'!$I$22)/('Elicitation of functions'!$H$20-'Elicitation of functions'!$H$22)*(D6-'Elicitation of functions'!$H$22)+'Elicitation of functions'!$I$22,IF(D6&lt;'Elicitation of functions'!$H$19,('Elicitation of functions'!$I$19-'Elicitation of functions'!$I$20)/('Elicitation of functions'!$H$19-'Elicitation of functions'!$H$20)*(D6-'Elicitation of functions'!$H$20)+'Elicitation of functions'!$I$20,IF(D6&lt;'Elicitation of functions'!$H$21,('Elicitation of functions'!$I$21-'Elicitation of functions'!$I$19)/('Elicitation of functions'!$H$21-'Elicitation of functions'!$H$19)*(D6-'Elicitation of functions'!$H$19)+'Elicitation of functions'!$I$19,('Elicitation of functions'!$I$23-'Elicitation of functions'!$I$21)/('Elicitation of functions'!$H$23-'Elicitation of functions'!$H$21)*(D6-'Elicitation of functions'!$H$21)+'Elicitation of functions'!$I$21)))</f>
        <v>0.6875</v>
      </c>
      <c r="O6" s="83">
        <f>INDEX('Elicitation of functions'!$K$29:$K$33,MATCH(E6,'Elicitation of functions'!$F$29:$F$33,0))</f>
        <v>0.7</v>
      </c>
      <c r="P6" s="83">
        <f>INDEX('Elicitation of functions'!$K$39:$K$43,MATCH(F6,'Elicitation of functions'!$F$39:$F$43,0))</f>
        <v>0.8</v>
      </c>
      <c r="Q6" s="83">
        <f>INDEX('Elicitation of functions'!$K$49:$K$52,MATCH(G6,'Elicitation of functions'!$F$49:$F$52,0))</f>
        <v>0.5</v>
      </c>
      <c r="R6" s="83">
        <f>IF(H6&lt;'Elicitation of functions'!$H$60,('Elicitation of functions'!$I$60-'Elicitation of functions'!$I$62)/('Elicitation of functions'!$H$60-'Elicitation of functions'!$H$62)*(H6-'Elicitation of functions'!$H$62)+'Elicitation of functions'!$I$62,IF(H6&lt;'Elicitation of functions'!$H$59,('Elicitation of functions'!$I$59-'Elicitation of functions'!$I$60)/('Elicitation of functions'!$H$59-'Elicitation of functions'!$H$60)*(H6-'Elicitation of functions'!$H$60)+'Elicitation of functions'!$I$60,IF(H6&lt;'Elicitation of functions'!$H$61,('Elicitation of functions'!$I$61-'Elicitation of functions'!$I$59)/('Elicitation of functions'!$H$61-'Elicitation of functions'!$H$59)*(H6-'Elicitation of functions'!$H$59)+'Elicitation of functions'!$I$59,('Elicitation of functions'!$I$63-'Elicitation of functions'!$I$61)/('Elicitation of functions'!$H$63-'Elicitation of functions'!$H$61)*(H6-'Elicitation of functions'!$H$61)+'Elicitation of functions'!$I$61)))</f>
        <v>0.41666666666666674</v>
      </c>
      <c r="S6" s="83">
        <f>IF(I6&lt;'Elicitation of functions'!$H$70,('Elicitation of functions'!$I$70-'Elicitation of functions'!$I$72)/('Elicitation of functions'!$H$70-'Elicitation of functions'!$H$72)*(I6-'Elicitation of functions'!$H$72)+'Elicitation of functions'!$I$72,IF(I6&lt;'Elicitation of functions'!$H$69,('Elicitation of functions'!$I$69-'Elicitation of functions'!$I$70)/('Elicitation of functions'!$H$69-'Elicitation of functions'!$H$70)*(I6-'Elicitation of functions'!$H$70)+'Elicitation of functions'!$I$70,IF(I6&lt;'Elicitation of functions'!$H$71,('Elicitation of functions'!$I$71-'Elicitation of functions'!$I$69)/('Elicitation of functions'!$H$71-'Elicitation of functions'!$H$69)*(I6-'Elicitation of functions'!$H$69)+'Elicitation of functions'!$I$69,('Elicitation of functions'!$I$73-'Elicitation of functions'!$I$71)/('Elicitation of functions'!$H$73-'Elicitation of functions'!$H$71)*(I6-'Elicitation of functions'!$H$71)+'Elicitation of functions'!$I$71)))</f>
        <v>0.5</v>
      </c>
      <c r="T6" s="83">
        <f>INDEX('Elicitation of functions'!$K$79:$K$83,MATCH(J6,'Elicitation of functions'!$F$79:$F$83,0))</f>
        <v>0.35</v>
      </c>
      <c r="U6" s="77"/>
      <c r="V6" s="77">
        <v>0.8</v>
      </c>
      <c r="W6" s="77">
        <v>0.5</v>
      </c>
      <c r="X6" s="77">
        <v>0.41666700000000001</v>
      </c>
      <c r="Y6" s="77">
        <v>0.5</v>
      </c>
      <c r="Z6" s="77">
        <v>0.35</v>
      </c>
    </row>
    <row r="7" spans="1:26" ht="14.5">
      <c r="A7" s="77"/>
      <c r="B7" s="79" t="s">
        <v>77</v>
      </c>
      <c r="C7" s="81">
        <v>0.85</v>
      </c>
      <c r="D7" s="81">
        <v>0.75</v>
      </c>
      <c r="E7" s="82" t="s">
        <v>18</v>
      </c>
      <c r="F7" s="82">
        <v>1</v>
      </c>
      <c r="G7" s="82" t="s">
        <v>48</v>
      </c>
      <c r="H7" s="81">
        <v>0.45</v>
      </c>
      <c r="I7" s="81">
        <v>0.9</v>
      </c>
      <c r="J7" s="82">
        <v>4</v>
      </c>
      <c r="K7" s="77"/>
      <c r="L7" s="79" t="str">
        <f t="shared" si="0"/>
        <v>Elite Mentor Network / Smart Work-Study</v>
      </c>
      <c r="M7" s="83">
        <f>IF(C7&lt;'Elicitation of functions'!$H$10,('Elicitation of functions'!$I$10-'Elicitation of functions'!$I$12)/('Elicitation of functions'!$H$10-'Elicitation of functions'!$H$12)*(C7-'Elicitation of functions'!$H$12)+'Elicitation of functions'!$I$12,IF(C7&lt;'Elicitation of functions'!$H$9,('Elicitation of functions'!$I$9-'Elicitation of functions'!$I$10)/('Elicitation of functions'!$H$9-'Elicitation of functions'!$H$10)*(C7-'Elicitation of functions'!$H$10)+'Elicitation of functions'!$I$10,IF(C7&lt;'Elicitation of functions'!$H$11,('Elicitation of functions'!$I$11-'Elicitation of functions'!$I$9)/('Elicitation of functions'!$H$11-'Elicitation of functions'!$H$9)*(C7-'Elicitation of functions'!$H$9)+'Elicitation of functions'!$I$9,('Elicitation of functions'!$I$13-'Elicitation of functions'!$I$11)/('Elicitation of functions'!$H$13-'Elicitation of functions'!$H$11)*(C7-'Elicitation of functions'!$H$11)+'Elicitation of functions'!$I$11)))</f>
        <v>0.75</v>
      </c>
      <c r="N7" s="83">
        <f>IF(D7&lt;'Elicitation of functions'!$H$20,('Elicitation of functions'!$I$20-'Elicitation of functions'!$I$22)/('Elicitation of functions'!$H$20-'Elicitation of functions'!$H$22)*(D7-'Elicitation of functions'!$H$22)+'Elicitation of functions'!$I$22,IF(D7&lt;'Elicitation of functions'!$H$19,('Elicitation of functions'!$I$19-'Elicitation of functions'!$I$20)/('Elicitation of functions'!$H$19-'Elicitation of functions'!$H$20)*(D7-'Elicitation of functions'!$H$20)+'Elicitation of functions'!$I$20,IF(D7&lt;'Elicitation of functions'!$H$21,('Elicitation of functions'!$I$21-'Elicitation of functions'!$I$19)/('Elicitation of functions'!$H$21-'Elicitation of functions'!$H$19)*(D7-'Elicitation of functions'!$H$19)+'Elicitation of functions'!$I$19,('Elicitation of functions'!$I$23-'Elicitation of functions'!$I$21)/('Elicitation of functions'!$H$23-'Elicitation of functions'!$H$21)*(D7-'Elicitation of functions'!$H$21)+'Elicitation of functions'!$I$21)))</f>
        <v>0.59375</v>
      </c>
      <c r="O7" s="83">
        <f>INDEX('Elicitation of functions'!$K$29:$K$33,MATCH(E7,'Elicitation of functions'!$F$29:$F$33,0))</f>
        <v>1</v>
      </c>
      <c r="P7" s="83">
        <f>INDEX('Elicitation of functions'!$K$39:$K$43,MATCH(F7,'Elicitation of functions'!$F$39:$F$43,0))</f>
        <v>0.3</v>
      </c>
      <c r="Q7" s="83">
        <f>INDEX('Elicitation of functions'!$K$49:$K$52,MATCH(G7,'Elicitation of functions'!$F$49:$F$52,0))</f>
        <v>0.75</v>
      </c>
      <c r="R7" s="83">
        <f>IF(H7&lt;'Elicitation of functions'!$H$60,('Elicitation of functions'!$I$60-'Elicitation of functions'!$I$62)/('Elicitation of functions'!$H$60-'Elicitation of functions'!$H$62)*(H7-'Elicitation of functions'!$H$62)+'Elicitation of functions'!$I$62,IF(H7&lt;'Elicitation of functions'!$H$59,('Elicitation of functions'!$I$59-'Elicitation of functions'!$I$60)/('Elicitation of functions'!$H$59-'Elicitation of functions'!$H$60)*(H7-'Elicitation of functions'!$H$60)+'Elicitation of functions'!$I$60,IF(H7&lt;'Elicitation of functions'!$H$61,('Elicitation of functions'!$I$61-'Elicitation of functions'!$I$59)/('Elicitation of functions'!$H$61-'Elicitation of functions'!$H$59)*(H7-'Elicitation of functions'!$H$59)+'Elicitation of functions'!$I$59,('Elicitation of functions'!$I$63-'Elicitation of functions'!$I$61)/('Elicitation of functions'!$H$63-'Elicitation of functions'!$H$61)*(H7-'Elicitation of functions'!$H$61)+'Elicitation of functions'!$I$61)))</f>
        <v>0.5</v>
      </c>
      <c r="S7" s="83">
        <f>IF(I7&lt;'Elicitation of functions'!$H$70,('Elicitation of functions'!$I$70-'Elicitation of functions'!$I$72)/('Elicitation of functions'!$H$70-'Elicitation of functions'!$H$72)*(I7-'Elicitation of functions'!$H$72)+'Elicitation of functions'!$I$72,IF(I7&lt;'Elicitation of functions'!$H$69,('Elicitation of functions'!$I$69-'Elicitation of functions'!$I$70)/('Elicitation of functions'!$H$69-'Elicitation of functions'!$H$70)*(I7-'Elicitation of functions'!$H$70)+'Elicitation of functions'!$I$70,IF(I7&lt;'Elicitation of functions'!$H$71,('Elicitation of functions'!$I$71-'Elicitation of functions'!$I$69)/('Elicitation of functions'!$H$71-'Elicitation of functions'!$H$69)*(I7-'Elicitation of functions'!$H$69)+'Elicitation of functions'!$I$69,('Elicitation of functions'!$I$73-'Elicitation of functions'!$I$71)/('Elicitation of functions'!$H$73-'Elicitation of functions'!$H$71)*(I7-'Elicitation of functions'!$H$71)+'Elicitation of functions'!$I$71)))</f>
        <v>0.75</v>
      </c>
      <c r="T7" s="83">
        <f>INDEX('Elicitation of functions'!$K$79:$K$83,MATCH(J7,'Elicitation of functions'!$F$79:$F$83,0))</f>
        <v>0.7</v>
      </c>
      <c r="U7" s="77"/>
      <c r="V7" s="77">
        <v>0.3</v>
      </c>
      <c r="W7" s="77">
        <v>0.75</v>
      </c>
      <c r="X7" s="77">
        <v>0.5</v>
      </c>
      <c r="Y7" s="77">
        <v>0.75</v>
      </c>
      <c r="Z7" s="77">
        <v>0.7</v>
      </c>
    </row>
    <row r="8" spans="1:26" ht="14.5">
      <c r="A8" s="77"/>
      <c r="B8" s="79" t="s">
        <v>78</v>
      </c>
      <c r="C8" s="81">
        <v>0.75</v>
      </c>
      <c r="D8" s="81">
        <v>0.65</v>
      </c>
      <c r="E8" s="82" t="s">
        <v>43</v>
      </c>
      <c r="F8" s="82">
        <v>2</v>
      </c>
      <c r="G8" s="82" t="s">
        <v>25</v>
      </c>
      <c r="H8" s="81">
        <v>0.6</v>
      </c>
      <c r="I8" s="81">
        <v>0.8</v>
      </c>
      <c r="J8" s="82">
        <v>3</v>
      </c>
      <c r="K8" s="77"/>
      <c r="L8" s="79" t="str">
        <f t="shared" si="0"/>
        <v>AI Governance Board / Assessment Integrity</v>
      </c>
      <c r="M8" s="83">
        <f>IF(C8&lt;'Elicitation of functions'!$H$10,('Elicitation of functions'!$I$10-'Elicitation of functions'!$I$12)/('Elicitation of functions'!$H$10-'Elicitation of functions'!$H$12)*(C8-'Elicitation of functions'!$H$12)+'Elicitation of functions'!$I$12,IF(C8&lt;'Elicitation of functions'!$H$9,('Elicitation of functions'!$I$9-'Elicitation of functions'!$I$10)/('Elicitation of functions'!$H$9-'Elicitation of functions'!$H$10)*(C8-'Elicitation of functions'!$H$10)+'Elicitation of functions'!$I$10,IF(C8&lt;'Elicitation of functions'!$H$11,('Elicitation of functions'!$I$11-'Elicitation of functions'!$I$9)/('Elicitation of functions'!$H$11-'Elicitation of functions'!$H$9)*(C8-'Elicitation of functions'!$H$9)+'Elicitation of functions'!$I$9,('Elicitation of functions'!$I$13-'Elicitation of functions'!$I$11)/('Elicitation of functions'!$H$13-'Elicitation of functions'!$H$11)*(C8-'Elicitation of functions'!$H$11)+'Elicitation of functions'!$I$11)))</f>
        <v>0.34375</v>
      </c>
      <c r="N8" s="83">
        <f>IF(D8&lt;'Elicitation of functions'!$H$20,('Elicitation of functions'!$I$20-'Elicitation of functions'!$I$22)/('Elicitation of functions'!$H$20-'Elicitation of functions'!$H$22)*(D8-'Elicitation of functions'!$H$22)+'Elicitation of functions'!$I$22,IF(D8&lt;'Elicitation of functions'!$H$19,('Elicitation of functions'!$I$19-'Elicitation of functions'!$I$20)/('Elicitation of functions'!$H$19-'Elicitation of functions'!$H$20)*(D8-'Elicitation of functions'!$H$20)+'Elicitation of functions'!$I$20,IF(D8&lt;'Elicitation of functions'!$H$21,('Elicitation of functions'!$I$21-'Elicitation of functions'!$I$19)/('Elicitation of functions'!$H$21-'Elicitation of functions'!$H$19)*(D8-'Elicitation of functions'!$H$19)+'Elicitation of functions'!$I$19,('Elicitation of functions'!$I$23-'Elicitation of functions'!$I$21)/('Elicitation of functions'!$H$23-'Elicitation of functions'!$H$21)*(D8-'Elicitation of functions'!$H$21)+'Elicitation of functions'!$I$21)))</f>
        <v>0.25</v>
      </c>
      <c r="O8" s="83">
        <f>INDEX('Elicitation of functions'!$K$29:$K$33,MATCH(E8,'Elicitation of functions'!$F$29:$F$33,0))</f>
        <v>0.2</v>
      </c>
      <c r="P8" s="83">
        <f>INDEX('Elicitation of functions'!$K$39:$K$43,MATCH(F8,'Elicitation of functions'!$F$39:$F$43,0))</f>
        <v>0.5</v>
      </c>
      <c r="Q8" s="83">
        <f>INDEX('Elicitation of functions'!$K$49:$K$52,MATCH(G8,'Elicitation of functions'!$F$49:$F$52,0))</f>
        <v>1</v>
      </c>
      <c r="R8" s="83">
        <f>IF(H8&lt;'Elicitation of functions'!$H$60,('Elicitation of functions'!$I$60-'Elicitation of functions'!$I$62)/('Elicitation of functions'!$H$60-'Elicitation of functions'!$H$62)*(H8-'Elicitation of functions'!$H$62)+'Elicitation of functions'!$I$62,IF(H8&lt;'Elicitation of functions'!$H$59,('Elicitation of functions'!$I$59-'Elicitation of functions'!$I$60)/('Elicitation of functions'!$H$59-'Elicitation of functions'!$H$60)*(H8-'Elicitation of functions'!$H$60)+'Elicitation of functions'!$I$60,IF(H8&lt;'Elicitation of functions'!$H$61,('Elicitation of functions'!$I$61-'Elicitation of functions'!$I$59)/('Elicitation of functions'!$H$61-'Elicitation of functions'!$H$59)*(H8-'Elicitation of functions'!$H$59)+'Elicitation of functions'!$I$59,('Elicitation of functions'!$I$63-'Elicitation of functions'!$I$61)/('Elicitation of functions'!$H$63-'Elicitation of functions'!$H$61)*(H8-'Elicitation of functions'!$H$61)+'Elicitation of functions'!$I$61)))</f>
        <v>0.625</v>
      </c>
      <c r="S8" s="83">
        <f>IF(I8&lt;'Elicitation of functions'!$H$70,('Elicitation of functions'!$I$70-'Elicitation of functions'!$I$72)/('Elicitation of functions'!$H$70-'Elicitation of functions'!$H$72)*(I8-'Elicitation of functions'!$H$72)+'Elicitation of functions'!$I$72,IF(I8&lt;'Elicitation of functions'!$H$69,('Elicitation of functions'!$I$69-'Elicitation of functions'!$I$70)/('Elicitation of functions'!$H$69-'Elicitation of functions'!$H$70)*(I8-'Elicitation of functions'!$H$70)+'Elicitation of functions'!$I$70,IF(I8&lt;'Elicitation of functions'!$H$71,('Elicitation of functions'!$I$71-'Elicitation of functions'!$I$69)/('Elicitation of functions'!$H$71-'Elicitation of functions'!$H$69)*(I8-'Elicitation of functions'!$H$69)+'Elicitation of functions'!$I$69,('Elicitation of functions'!$I$73-'Elicitation of functions'!$I$71)/('Elicitation of functions'!$H$73-'Elicitation of functions'!$H$71)*(I8-'Elicitation of functions'!$H$71)+'Elicitation of functions'!$I$71)))</f>
        <v>0.45454545454545475</v>
      </c>
      <c r="T8" s="83">
        <f>INDEX('Elicitation of functions'!$K$79:$K$83,MATCH(J8,'Elicitation of functions'!$F$79:$F$83,0))</f>
        <v>0.35</v>
      </c>
      <c r="U8" s="77"/>
      <c r="V8" s="77">
        <v>0.5</v>
      </c>
      <c r="W8" s="77">
        <v>1</v>
      </c>
      <c r="X8" s="77">
        <v>0.625</v>
      </c>
      <c r="Y8" s="77">
        <v>0.45454499999999998</v>
      </c>
      <c r="Z8" s="77">
        <v>0.35</v>
      </c>
    </row>
    <row r="9" spans="1:26" ht="14.5">
      <c r="A9" s="77"/>
      <c r="B9" s="79" t="s">
        <v>79</v>
      </c>
      <c r="C9" s="81">
        <v>0.8</v>
      </c>
      <c r="D9" s="81">
        <v>0.72</v>
      </c>
      <c r="E9" s="82" t="s">
        <v>44</v>
      </c>
      <c r="F9" s="82">
        <v>2</v>
      </c>
      <c r="G9" s="82" t="s">
        <v>48</v>
      </c>
      <c r="H9" s="81">
        <v>0.8</v>
      </c>
      <c r="I9" s="81">
        <v>0.82</v>
      </c>
      <c r="J9" s="82">
        <v>2</v>
      </c>
      <c r="K9" s="77"/>
      <c r="L9" s="79" t="str">
        <f t="shared" si="0"/>
        <v>Aalto-Controlled Core Infrastructure</v>
      </c>
      <c r="M9" s="83">
        <f>IF(C9&lt;'Elicitation of functions'!$H$10,('Elicitation of functions'!$I$10-'Elicitation of functions'!$I$12)/('Elicitation of functions'!$H$10-'Elicitation of functions'!$H$12)*(C9-'Elicitation of functions'!$H$12)+'Elicitation of functions'!$I$12,IF(C9&lt;'Elicitation of functions'!$H$9,('Elicitation of functions'!$I$9-'Elicitation of functions'!$I$10)/('Elicitation of functions'!$H$9-'Elicitation of functions'!$H$10)*(C9-'Elicitation of functions'!$H$10)+'Elicitation of functions'!$I$10,IF(C9&lt;'Elicitation of functions'!$H$11,('Elicitation of functions'!$I$11-'Elicitation of functions'!$I$9)/('Elicitation of functions'!$H$11-'Elicitation of functions'!$H$9)*(C9-'Elicitation of functions'!$H$9)+'Elicitation of functions'!$I$9,('Elicitation of functions'!$I$13-'Elicitation of functions'!$I$11)/('Elicitation of functions'!$H$13-'Elicitation of functions'!$H$11)*(C9-'Elicitation of functions'!$H$11)+'Elicitation of functions'!$I$11)))</f>
        <v>0.5</v>
      </c>
      <c r="N9" s="83">
        <f>IF(D9&lt;'Elicitation of functions'!$H$20,('Elicitation of functions'!$I$20-'Elicitation of functions'!$I$22)/('Elicitation of functions'!$H$20-'Elicitation of functions'!$H$22)*(D9-'Elicitation of functions'!$H$22)+'Elicitation of functions'!$I$22,IF(D9&lt;'Elicitation of functions'!$H$19,('Elicitation of functions'!$I$19-'Elicitation of functions'!$I$20)/('Elicitation of functions'!$H$19-'Elicitation of functions'!$H$20)*(D9-'Elicitation of functions'!$H$20)+'Elicitation of functions'!$I$20,IF(D9&lt;'Elicitation of functions'!$H$21,('Elicitation of functions'!$I$21-'Elicitation of functions'!$I$19)/('Elicitation of functions'!$H$21-'Elicitation of functions'!$H$19)*(D9-'Elicitation of functions'!$H$19)+'Elicitation of functions'!$I$19,('Elicitation of functions'!$I$23-'Elicitation of functions'!$I$21)/('Elicitation of functions'!$H$23-'Elicitation of functions'!$H$21)*(D9-'Elicitation of functions'!$H$21)+'Elicitation of functions'!$I$21)))</f>
        <v>0.5</v>
      </c>
      <c r="O9" s="83">
        <f>INDEX('Elicitation of functions'!$K$29:$K$33,MATCH(E9,'Elicitation of functions'!$F$29:$F$33,0))</f>
        <v>0.4</v>
      </c>
      <c r="P9" s="83">
        <f>INDEX('Elicitation of functions'!$K$39:$K$43,MATCH(F9,'Elicitation of functions'!$F$39:$F$43,0))</f>
        <v>0.5</v>
      </c>
      <c r="Q9" s="83">
        <f>INDEX('Elicitation of functions'!$K$49:$K$52,MATCH(G9,'Elicitation of functions'!$F$49:$F$52,0))</f>
        <v>0.75</v>
      </c>
      <c r="R9" s="83">
        <f>IF(H9&lt;'Elicitation of functions'!$H$60,('Elicitation of functions'!$I$60-'Elicitation of functions'!$I$62)/('Elicitation of functions'!$H$60-'Elicitation of functions'!$H$62)*(H9-'Elicitation of functions'!$H$62)+'Elicitation of functions'!$I$62,IF(H9&lt;'Elicitation of functions'!$H$59,('Elicitation of functions'!$I$59-'Elicitation of functions'!$I$60)/('Elicitation of functions'!$H$59-'Elicitation of functions'!$H$60)*(H9-'Elicitation of functions'!$H$60)+'Elicitation of functions'!$I$60,IF(H9&lt;'Elicitation of functions'!$H$61,('Elicitation of functions'!$I$61-'Elicitation of functions'!$I$59)/('Elicitation of functions'!$H$61-'Elicitation of functions'!$H$59)*(H9-'Elicitation of functions'!$H$59)+'Elicitation of functions'!$I$59,('Elicitation of functions'!$I$63-'Elicitation of functions'!$I$61)/('Elicitation of functions'!$H$63-'Elicitation of functions'!$H$61)*(H9-'Elicitation of functions'!$H$61)+'Elicitation of functions'!$I$61)))</f>
        <v>0.83333333333333337</v>
      </c>
      <c r="S9" s="83">
        <f>IF(I9&lt;'Elicitation of functions'!$H$70,('Elicitation of functions'!$I$70-'Elicitation of functions'!$I$72)/('Elicitation of functions'!$H$70-'Elicitation of functions'!$H$72)*(I9-'Elicitation of functions'!$H$72)+'Elicitation of functions'!$I$72,IF(I9&lt;'Elicitation of functions'!$H$69,('Elicitation of functions'!$I$69-'Elicitation of functions'!$I$70)/('Elicitation of functions'!$H$69-'Elicitation of functions'!$H$70)*(I9-'Elicitation of functions'!$H$70)+'Elicitation of functions'!$I$70,IF(I9&lt;'Elicitation of functions'!$H$71,('Elicitation of functions'!$I$71-'Elicitation of functions'!$I$69)/('Elicitation of functions'!$H$71-'Elicitation of functions'!$H$69)*(I9-'Elicitation of functions'!$H$69)+'Elicitation of functions'!$I$69,('Elicitation of functions'!$I$73-'Elicitation of functions'!$I$71)/('Elicitation of functions'!$H$73-'Elicitation of functions'!$H$71)*(I9-'Elicitation of functions'!$H$71)+'Elicitation of functions'!$I$71)))</f>
        <v>0.5</v>
      </c>
      <c r="T9" s="83">
        <f>INDEX('Elicitation of functions'!$K$79:$K$83,MATCH(J9,'Elicitation of functions'!$F$79:$F$83,0))</f>
        <v>0.2</v>
      </c>
      <c r="U9" s="77"/>
      <c r="V9" s="77">
        <v>0.5</v>
      </c>
      <c r="W9" s="77">
        <v>0.75</v>
      </c>
      <c r="X9" s="77">
        <v>0.83333299999999999</v>
      </c>
      <c r="Y9" s="77">
        <v>0.5</v>
      </c>
      <c r="Z9" s="77">
        <v>0.2</v>
      </c>
    </row>
    <row r="10" spans="1:26" ht="14.5">
      <c r="A10" s="77"/>
      <c r="B10" s="79" t="s">
        <v>80</v>
      </c>
      <c r="C10" s="81">
        <v>0.8</v>
      </c>
      <c r="D10" s="81">
        <v>0.75</v>
      </c>
      <c r="E10" s="82" t="s">
        <v>45</v>
      </c>
      <c r="F10" s="82">
        <v>4</v>
      </c>
      <c r="G10" s="82" t="s">
        <v>47</v>
      </c>
      <c r="H10" s="81">
        <v>0.5</v>
      </c>
      <c r="I10" s="81">
        <v>0.88</v>
      </c>
      <c r="J10" s="82">
        <v>4</v>
      </c>
      <c r="K10" s="77"/>
      <c r="L10" s="79" t="str">
        <f t="shared" si="0"/>
        <v>Aalto-Certified Micro-Credentials</v>
      </c>
      <c r="M10" s="83">
        <f>IF(C10&lt;'Elicitation of functions'!$H$10,('Elicitation of functions'!$I$10-'Elicitation of functions'!$I$12)/('Elicitation of functions'!$H$10-'Elicitation of functions'!$H$12)*(C10-'Elicitation of functions'!$H$12)+'Elicitation of functions'!$I$12,IF(C10&lt;'Elicitation of functions'!$H$9,('Elicitation of functions'!$I$9-'Elicitation of functions'!$I$10)/('Elicitation of functions'!$H$9-'Elicitation of functions'!$H$10)*(C10-'Elicitation of functions'!$H$10)+'Elicitation of functions'!$I$10,IF(C10&lt;'Elicitation of functions'!$H$11,('Elicitation of functions'!$I$11-'Elicitation of functions'!$I$9)/('Elicitation of functions'!$H$11-'Elicitation of functions'!$H$9)*(C10-'Elicitation of functions'!$H$9)+'Elicitation of functions'!$I$9,('Elicitation of functions'!$I$13-'Elicitation of functions'!$I$11)/('Elicitation of functions'!$H$13-'Elicitation of functions'!$H$11)*(C10-'Elicitation of functions'!$H$11)+'Elicitation of functions'!$I$11)))</f>
        <v>0.5</v>
      </c>
      <c r="N10" s="83">
        <f>IF(D10&lt;'Elicitation of functions'!$H$20,('Elicitation of functions'!$I$20-'Elicitation of functions'!$I$22)/('Elicitation of functions'!$H$20-'Elicitation of functions'!$H$22)*(D10-'Elicitation of functions'!$H$22)+'Elicitation of functions'!$I$22,IF(D10&lt;'Elicitation of functions'!$H$19,('Elicitation of functions'!$I$19-'Elicitation of functions'!$I$20)/('Elicitation of functions'!$H$19-'Elicitation of functions'!$H$20)*(D10-'Elicitation of functions'!$H$20)+'Elicitation of functions'!$I$20,IF(D10&lt;'Elicitation of functions'!$H$21,('Elicitation of functions'!$I$21-'Elicitation of functions'!$I$19)/('Elicitation of functions'!$H$21-'Elicitation of functions'!$H$19)*(D10-'Elicitation of functions'!$H$19)+'Elicitation of functions'!$I$19,('Elicitation of functions'!$I$23-'Elicitation of functions'!$I$21)/('Elicitation of functions'!$H$23-'Elicitation of functions'!$H$21)*(D10-'Elicitation of functions'!$H$21)+'Elicitation of functions'!$I$21)))</f>
        <v>0.59375</v>
      </c>
      <c r="O10" s="83">
        <f>INDEX('Elicitation of functions'!$K$29:$K$33,MATCH(E10,'Elicitation of functions'!$F$29:$F$33,0))</f>
        <v>0.7</v>
      </c>
      <c r="P10" s="83">
        <f>INDEX('Elicitation of functions'!$K$39:$K$43,MATCH(F10,'Elicitation of functions'!$F$39:$F$43,0))</f>
        <v>1</v>
      </c>
      <c r="Q10" s="83">
        <f>INDEX('Elicitation of functions'!$K$49:$K$52,MATCH(G10,'Elicitation of functions'!$F$49:$F$52,0))</f>
        <v>0.5</v>
      </c>
      <c r="R10" s="83">
        <f>IF(H10&lt;'Elicitation of functions'!$H$60,('Elicitation of functions'!$I$60-'Elicitation of functions'!$I$62)/('Elicitation of functions'!$H$60-'Elicitation of functions'!$H$62)*(H10-'Elicitation of functions'!$H$62)+'Elicitation of functions'!$I$62,IF(H10&lt;'Elicitation of functions'!$H$59,('Elicitation of functions'!$I$59-'Elicitation of functions'!$I$60)/('Elicitation of functions'!$H$59-'Elicitation of functions'!$H$60)*(H10-'Elicitation of functions'!$H$60)+'Elicitation of functions'!$I$60,IF(H10&lt;'Elicitation of functions'!$H$61,('Elicitation of functions'!$I$61-'Elicitation of functions'!$I$59)/('Elicitation of functions'!$H$61-'Elicitation of functions'!$H$59)*(H10-'Elicitation of functions'!$H$59)+'Elicitation of functions'!$I$59,('Elicitation of functions'!$I$63-'Elicitation of functions'!$I$61)/('Elicitation of functions'!$H$63-'Elicitation of functions'!$H$61)*(H10-'Elicitation of functions'!$H$61)+'Elicitation of functions'!$I$61)))</f>
        <v>0.54166666666666663</v>
      </c>
      <c r="S10" s="83">
        <f>IF(I10&lt;'Elicitation of functions'!$H$70,('Elicitation of functions'!$I$70-'Elicitation of functions'!$I$72)/('Elicitation of functions'!$H$70-'Elicitation of functions'!$H$72)*(I10-'Elicitation of functions'!$H$72)+'Elicitation of functions'!$I$72,IF(I10&lt;'Elicitation of functions'!$H$69,('Elicitation of functions'!$I$69-'Elicitation of functions'!$I$70)/('Elicitation of functions'!$H$69-'Elicitation of functions'!$H$70)*(I10-'Elicitation of functions'!$H$70)+'Elicitation of functions'!$I$70,IF(I10&lt;'Elicitation of functions'!$H$71,('Elicitation of functions'!$I$71-'Elicitation of functions'!$I$69)/('Elicitation of functions'!$H$71-'Elicitation of functions'!$H$69)*(I10-'Elicitation of functions'!$H$69)+'Elicitation of functions'!$I$69,('Elicitation of functions'!$I$73-'Elicitation of functions'!$I$71)/('Elicitation of functions'!$H$73-'Elicitation of functions'!$H$71)*(I10-'Elicitation of functions'!$H$71)+'Elicitation of functions'!$I$71)))</f>
        <v>0.6875</v>
      </c>
      <c r="T10" s="83">
        <f>INDEX('Elicitation of functions'!$K$79:$K$83,MATCH(J10,'Elicitation of functions'!$F$79:$F$83,0))</f>
        <v>0.7</v>
      </c>
      <c r="U10" s="77"/>
      <c r="V10" s="77">
        <v>1</v>
      </c>
      <c r="W10" s="77">
        <v>0.5</v>
      </c>
      <c r="X10" s="77">
        <v>0.54166700000000001</v>
      </c>
      <c r="Y10" s="77">
        <v>0.6875</v>
      </c>
      <c r="Z10" s="77">
        <v>0.7</v>
      </c>
    </row>
    <row r="11" spans="1:26" ht="14.5">
      <c r="A11" s="77"/>
      <c r="B11" s="79" t="s">
        <v>81</v>
      </c>
      <c r="C11" s="81">
        <v>0.85</v>
      </c>
      <c r="D11" s="81">
        <v>0.78</v>
      </c>
      <c r="E11" s="82" t="s">
        <v>45</v>
      </c>
      <c r="F11" s="82">
        <v>2</v>
      </c>
      <c r="G11" s="82" t="s">
        <v>48</v>
      </c>
      <c r="H11" s="81">
        <v>0.5</v>
      </c>
      <c r="I11" s="81">
        <v>0.84</v>
      </c>
      <c r="J11" s="82">
        <v>3</v>
      </c>
      <c r="K11" s="77"/>
      <c r="L11" s="79" t="str">
        <f t="shared" si="0"/>
        <v>Pedagogical Training for Staff</v>
      </c>
      <c r="M11" s="83">
        <f>IF(C11&lt;'Elicitation of functions'!$H$10,('Elicitation of functions'!$I$10-'Elicitation of functions'!$I$12)/('Elicitation of functions'!$H$10-'Elicitation of functions'!$H$12)*(C11-'Elicitation of functions'!$H$12)+'Elicitation of functions'!$I$12,IF(C11&lt;'Elicitation of functions'!$H$9,('Elicitation of functions'!$I$9-'Elicitation of functions'!$I$10)/('Elicitation of functions'!$H$9-'Elicitation of functions'!$H$10)*(C11-'Elicitation of functions'!$H$10)+'Elicitation of functions'!$I$10,IF(C11&lt;'Elicitation of functions'!$H$11,('Elicitation of functions'!$I$11-'Elicitation of functions'!$I$9)/('Elicitation of functions'!$H$11-'Elicitation of functions'!$H$9)*(C11-'Elicitation of functions'!$H$9)+'Elicitation of functions'!$I$9,('Elicitation of functions'!$I$13-'Elicitation of functions'!$I$11)/('Elicitation of functions'!$H$13-'Elicitation of functions'!$H$11)*(C11-'Elicitation of functions'!$H$11)+'Elicitation of functions'!$I$11)))</f>
        <v>0.75</v>
      </c>
      <c r="N11" s="83">
        <f>IF(D11&lt;'Elicitation of functions'!$H$20,('Elicitation of functions'!$I$20-'Elicitation of functions'!$I$22)/('Elicitation of functions'!$H$20-'Elicitation of functions'!$H$22)*(D11-'Elicitation of functions'!$H$22)+'Elicitation of functions'!$I$22,IF(D11&lt;'Elicitation of functions'!$H$19,('Elicitation of functions'!$I$19-'Elicitation of functions'!$I$20)/('Elicitation of functions'!$H$19-'Elicitation of functions'!$H$20)*(D11-'Elicitation of functions'!$H$20)+'Elicitation of functions'!$I$20,IF(D11&lt;'Elicitation of functions'!$H$21,('Elicitation of functions'!$I$21-'Elicitation of functions'!$I$19)/('Elicitation of functions'!$H$21-'Elicitation of functions'!$H$19)*(D11-'Elicitation of functions'!$H$19)+'Elicitation of functions'!$I$19,('Elicitation of functions'!$I$23-'Elicitation of functions'!$I$21)/('Elicitation of functions'!$H$23-'Elicitation of functions'!$H$21)*(D11-'Elicitation of functions'!$H$21)+'Elicitation of functions'!$I$21)))</f>
        <v>0.6875</v>
      </c>
      <c r="O11" s="83">
        <f>INDEX('Elicitation of functions'!$K$29:$K$33,MATCH(E11,'Elicitation of functions'!$F$29:$F$33,0))</f>
        <v>0.7</v>
      </c>
      <c r="P11" s="83">
        <f>INDEX('Elicitation of functions'!$K$39:$K$43,MATCH(F11,'Elicitation of functions'!$F$39:$F$43,0))</f>
        <v>0.5</v>
      </c>
      <c r="Q11" s="83">
        <f>INDEX('Elicitation of functions'!$K$49:$K$52,MATCH(G11,'Elicitation of functions'!$F$49:$F$52,0))</f>
        <v>0.75</v>
      </c>
      <c r="R11" s="83">
        <f>IF(H11&lt;'Elicitation of functions'!$H$60,('Elicitation of functions'!$I$60-'Elicitation of functions'!$I$62)/('Elicitation of functions'!$H$60-'Elicitation of functions'!$H$62)*(H11-'Elicitation of functions'!$H$62)+'Elicitation of functions'!$I$62,IF(H11&lt;'Elicitation of functions'!$H$59,('Elicitation of functions'!$I$59-'Elicitation of functions'!$I$60)/('Elicitation of functions'!$H$59-'Elicitation of functions'!$H$60)*(H11-'Elicitation of functions'!$H$60)+'Elicitation of functions'!$I$60,IF(H11&lt;'Elicitation of functions'!$H$61,('Elicitation of functions'!$I$61-'Elicitation of functions'!$I$59)/('Elicitation of functions'!$H$61-'Elicitation of functions'!$H$59)*(H11-'Elicitation of functions'!$H$59)+'Elicitation of functions'!$I$59,('Elicitation of functions'!$I$63-'Elicitation of functions'!$I$61)/('Elicitation of functions'!$H$63-'Elicitation of functions'!$H$61)*(H11-'Elicitation of functions'!$H$61)+'Elicitation of functions'!$I$61)))</f>
        <v>0.54166666666666663</v>
      </c>
      <c r="S11" s="83">
        <f>IF(I11&lt;'Elicitation of functions'!$H$70,('Elicitation of functions'!$I$70-'Elicitation of functions'!$I$72)/('Elicitation of functions'!$H$70-'Elicitation of functions'!$H$72)*(I11-'Elicitation of functions'!$H$72)+'Elicitation of functions'!$I$72,IF(I11&lt;'Elicitation of functions'!$H$69,('Elicitation of functions'!$I$69-'Elicitation of functions'!$I$70)/('Elicitation of functions'!$H$69-'Elicitation of functions'!$H$70)*(I11-'Elicitation of functions'!$H$70)+'Elicitation of functions'!$I$70,IF(I11&lt;'Elicitation of functions'!$H$71,('Elicitation of functions'!$I$71-'Elicitation of functions'!$I$69)/('Elicitation of functions'!$H$71-'Elicitation of functions'!$H$69)*(I11-'Elicitation of functions'!$H$69)+'Elicitation of functions'!$I$69,('Elicitation of functions'!$I$73-'Elicitation of functions'!$I$71)/('Elicitation of functions'!$H$73-'Elicitation of functions'!$H$71)*(I11-'Elicitation of functions'!$H$71)+'Elicitation of functions'!$I$71)))</f>
        <v>0.5625</v>
      </c>
      <c r="T11" s="83">
        <f>INDEX('Elicitation of functions'!$K$79:$K$83,MATCH(J11,'Elicitation of functions'!$F$79:$F$83,0))</f>
        <v>0.35</v>
      </c>
      <c r="U11" s="77"/>
      <c r="V11" s="77">
        <v>0.5</v>
      </c>
      <c r="W11" s="77">
        <v>0.75</v>
      </c>
      <c r="X11" s="77">
        <v>0.54166700000000001</v>
      </c>
      <c r="Y11" s="77">
        <v>0.5625</v>
      </c>
      <c r="Z11" s="77">
        <v>0.35</v>
      </c>
    </row>
    <row r="12" spans="1:26" ht="14.5">
      <c r="A12" s="77"/>
      <c r="B12" s="79" t="s">
        <v>82</v>
      </c>
      <c r="C12" s="81">
        <v>0.82</v>
      </c>
      <c r="D12" s="81">
        <v>0.75</v>
      </c>
      <c r="E12" s="82" t="s">
        <v>44</v>
      </c>
      <c r="F12" s="82">
        <v>1</v>
      </c>
      <c r="G12" s="82" t="s">
        <v>48</v>
      </c>
      <c r="H12" s="81">
        <v>0.65</v>
      </c>
      <c r="I12" s="81">
        <v>0.86</v>
      </c>
      <c r="J12" s="82">
        <v>4</v>
      </c>
      <c r="K12" s="77"/>
      <c r="L12" s="79" t="str">
        <f t="shared" si="0"/>
        <v>Nordic-Baltic Tech Alliance</v>
      </c>
      <c r="M12" s="83">
        <f>IF(C12&lt;'Elicitation of functions'!$H$10,('Elicitation of functions'!$I$10-'Elicitation of functions'!$I$12)/('Elicitation of functions'!$H$10-'Elicitation of functions'!$H$12)*(C12-'Elicitation of functions'!$H$12)+'Elicitation of functions'!$I$12,IF(C12&lt;'Elicitation of functions'!$H$9,('Elicitation of functions'!$I$9-'Elicitation of functions'!$I$10)/('Elicitation of functions'!$H$9-'Elicitation of functions'!$H$10)*(C12-'Elicitation of functions'!$H$10)+'Elicitation of functions'!$I$10,IF(C12&lt;'Elicitation of functions'!$H$11,('Elicitation of functions'!$I$11-'Elicitation of functions'!$I$9)/('Elicitation of functions'!$H$11-'Elicitation of functions'!$H$9)*(C12-'Elicitation of functions'!$H$9)+'Elicitation of functions'!$I$9,('Elicitation of functions'!$I$13-'Elicitation of functions'!$I$11)/('Elicitation of functions'!$H$13-'Elicitation of functions'!$H$11)*(C12-'Elicitation of functions'!$H$11)+'Elicitation of functions'!$I$11)))</f>
        <v>0.59999999999999964</v>
      </c>
      <c r="N12" s="83">
        <f>IF(D12&lt;'Elicitation of functions'!$H$20,('Elicitation of functions'!$I$20-'Elicitation of functions'!$I$22)/('Elicitation of functions'!$H$20-'Elicitation of functions'!$H$22)*(D12-'Elicitation of functions'!$H$22)+'Elicitation of functions'!$I$22,IF(D12&lt;'Elicitation of functions'!$H$19,('Elicitation of functions'!$I$19-'Elicitation of functions'!$I$20)/('Elicitation of functions'!$H$19-'Elicitation of functions'!$H$20)*(D12-'Elicitation of functions'!$H$20)+'Elicitation of functions'!$I$20,IF(D12&lt;'Elicitation of functions'!$H$21,('Elicitation of functions'!$I$21-'Elicitation of functions'!$I$19)/('Elicitation of functions'!$H$21-'Elicitation of functions'!$H$19)*(D12-'Elicitation of functions'!$H$19)+'Elicitation of functions'!$I$19,('Elicitation of functions'!$I$23-'Elicitation of functions'!$I$21)/('Elicitation of functions'!$H$23-'Elicitation of functions'!$H$21)*(D12-'Elicitation of functions'!$H$21)+'Elicitation of functions'!$I$21)))</f>
        <v>0.59375</v>
      </c>
      <c r="O12" s="83">
        <f>INDEX('Elicitation of functions'!$K$29:$K$33,MATCH(E12,'Elicitation of functions'!$F$29:$F$33,0))</f>
        <v>0.4</v>
      </c>
      <c r="P12" s="83">
        <f>INDEX('Elicitation of functions'!$K$39:$K$43,MATCH(F12,'Elicitation of functions'!$F$39:$F$43,0))</f>
        <v>0.3</v>
      </c>
      <c r="Q12" s="83">
        <f>INDEX('Elicitation of functions'!$K$49:$K$52,MATCH(G12,'Elicitation of functions'!$F$49:$F$52,0))</f>
        <v>0.75</v>
      </c>
      <c r="R12" s="83">
        <f>IF(H12&lt;'Elicitation of functions'!$H$60,('Elicitation of functions'!$I$60-'Elicitation of functions'!$I$62)/('Elicitation of functions'!$H$60-'Elicitation of functions'!$H$62)*(H12-'Elicitation of functions'!$H$62)+'Elicitation of functions'!$I$62,IF(H12&lt;'Elicitation of functions'!$H$59,('Elicitation of functions'!$I$59-'Elicitation of functions'!$I$60)/('Elicitation of functions'!$H$59-'Elicitation of functions'!$H$60)*(H12-'Elicitation of functions'!$H$60)+'Elicitation of functions'!$I$60,IF(H12&lt;'Elicitation of functions'!$H$61,('Elicitation of functions'!$I$61-'Elicitation of functions'!$I$59)/('Elicitation of functions'!$H$61-'Elicitation of functions'!$H$59)*(H12-'Elicitation of functions'!$H$59)+'Elicitation of functions'!$I$59,('Elicitation of functions'!$I$63-'Elicitation of functions'!$I$61)/('Elicitation of functions'!$H$63-'Elicitation of functions'!$H$61)*(H12-'Elicitation of functions'!$H$61)+'Elicitation of functions'!$I$61)))</f>
        <v>0.66666666666666674</v>
      </c>
      <c r="S12" s="83">
        <f>IF(I12&lt;'Elicitation of functions'!$H$70,('Elicitation of functions'!$I$70-'Elicitation of functions'!$I$72)/('Elicitation of functions'!$H$70-'Elicitation of functions'!$H$72)*(I12-'Elicitation of functions'!$H$72)+'Elicitation of functions'!$I$72,IF(I12&lt;'Elicitation of functions'!$H$69,('Elicitation of functions'!$I$69-'Elicitation of functions'!$I$70)/('Elicitation of functions'!$H$69-'Elicitation of functions'!$H$70)*(I12-'Elicitation of functions'!$H$70)+'Elicitation of functions'!$I$70,IF(I12&lt;'Elicitation of functions'!$H$71,('Elicitation of functions'!$I$71-'Elicitation of functions'!$I$69)/('Elicitation of functions'!$H$71-'Elicitation of functions'!$H$69)*(I12-'Elicitation of functions'!$H$69)+'Elicitation of functions'!$I$69,('Elicitation of functions'!$I$73-'Elicitation of functions'!$I$71)/('Elicitation of functions'!$H$73-'Elicitation of functions'!$H$71)*(I12-'Elicitation of functions'!$H$71)+'Elicitation of functions'!$I$71)))</f>
        <v>0.625</v>
      </c>
      <c r="T12" s="83">
        <f>INDEX('Elicitation of functions'!$K$79:$K$83,MATCH(J12,'Elicitation of functions'!$F$79:$F$83,0))</f>
        <v>0.7</v>
      </c>
      <c r="U12" s="77"/>
      <c r="V12" s="77">
        <v>0.3</v>
      </c>
      <c r="W12" s="77">
        <v>0.75</v>
      </c>
      <c r="X12" s="77">
        <v>0.66666700000000001</v>
      </c>
      <c r="Y12" s="77">
        <v>0.625</v>
      </c>
      <c r="Z12" s="77">
        <v>0.7</v>
      </c>
    </row>
    <row r="13" spans="1:26" ht="15" customHeight="1">
      <c r="A13" s="77"/>
      <c r="B13" s="13" t="s">
        <v>83</v>
      </c>
      <c r="C13" s="13"/>
      <c r="D13" s="13"/>
      <c r="E13" s="13"/>
      <c r="F13" s="13"/>
      <c r="G13" s="13"/>
      <c r="H13" s="13"/>
      <c r="I13" s="13"/>
      <c r="J13" s="13"/>
      <c r="K13" s="77"/>
      <c r="L13" s="13" t="s">
        <v>84</v>
      </c>
      <c r="M13" s="13"/>
      <c r="N13" s="13"/>
      <c r="O13" s="13"/>
      <c r="P13" s="13"/>
      <c r="Q13" s="13"/>
      <c r="R13" s="13"/>
      <c r="S13" s="13"/>
      <c r="T13" s="13"/>
      <c r="U13" s="77"/>
      <c r="V13" s="77"/>
      <c r="W13" s="77"/>
      <c r="X13" s="77"/>
      <c r="Y13" s="77"/>
      <c r="Z13" s="77"/>
    </row>
    <row r="14" spans="1:26" ht="14.5">
      <c r="A14" s="77"/>
      <c r="B14" s="79" t="s">
        <v>69</v>
      </c>
      <c r="C14" s="80" t="s">
        <v>70</v>
      </c>
      <c r="D14" s="80" t="s">
        <v>71</v>
      </c>
      <c r="E14" s="80" t="s">
        <v>15</v>
      </c>
      <c r="F14" s="80" t="s">
        <v>72</v>
      </c>
      <c r="G14" s="80" t="s">
        <v>23</v>
      </c>
      <c r="H14" s="80" t="s">
        <v>73</v>
      </c>
      <c r="I14" s="80" t="s">
        <v>74</v>
      </c>
      <c r="J14" s="80" t="s">
        <v>75</v>
      </c>
      <c r="K14" s="77"/>
      <c r="L14" s="79" t="s">
        <v>69</v>
      </c>
      <c r="M14" s="80" t="s">
        <v>70</v>
      </c>
      <c r="N14" s="80" t="s">
        <v>71</v>
      </c>
      <c r="O14" s="80" t="s">
        <v>15</v>
      </c>
      <c r="P14" s="80" t="s">
        <v>72</v>
      </c>
      <c r="Q14" s="80" t="s">
        <v>23</v>
      </c>
      <c r="R14" s="80" t="s">
        <v>73</v>
      </c>
      <c r="S14" s="80" t="s">
        <v>74</v>
      </c>
      <c r="T14" s="80" t="s">
        <v>75</v>
      </c>
      <c r="U14" s="77"/>
      <c r="V14" s="77"/>
      <c r="W14" s="77"/>
      <c r="X14" s="77"/>
      <c r="Y14" s="77"/>
      <c r="Z14" s="77"/>
    </row>
    <row r="15" spans="1:26" ht="15" customHeight="1">
      <c r="A15" s="77"/>
      <c r="B15" s="79" t="s">
        <v>76</v>
      </c>
      <c r="C15" s="81">
        <v>0.88</v>
      </c>
      <c r="D15" s="81">
        <v>0.85</v>
      </c>
      <c r="E15" s="82" t="s">
        <v>44</v>
      </c>
      <c r="F15" s="82">
        <v>4</v>
      </c>
      <c r="G15" s="82" t="s">
        <v>24</v>
      </c>
      <c r="H15" s="81">
        <v>0.35</v>
      </c>
      <c r="I15" s="81">
        <v>0.85</v>
      </c>
      <c r="J15" s="82">
        <v>3</v>
      </c>
      <c r="K15" s="77"/>
      <c r="L15" s="79" t="str">
        <f t="shared" ref="L15:L21" si="1">B15</f>
        <v>AI-Enabled Student Guidance</v>
      </c>
      <c r="M15" s="83">
        <f>IF(C15&lt;'Elicitation of functions'!$H$10,('Elicitation of functions'!$I$10-'Elicitation of functions'!$I$12)/('Elicitation of functions'!$H$10-'Elicitation of functions'!$H$12)*(C15-'Elicitation of functions'!$H$12)+'Elicitation of functions'!$I$12,IF(C15&lt;'Elicitation of functions'!$H$9,('Elicitation of functions'!$I$9-'Elicitation of functions'!$I$10)/('Elicitation of functions'!$H$9-'Elicitation of functions'!$H$10)*(C15-'Elicitation of functions'!$H$10)+'Elicitation of functions'!$I$10,IF(C15&lt;'Elicitation of functions'!$H$11,('Elicitation of functions'!$I$11-'Elicitation of functions'!$I$9)/('Elicitation of functions'!$H$11-'Elicitation of functions'!$H$9)*(C15-'Elicitation of functions'!$H$9)+'Elicitation of functions'!$I$9,('Elicitation of functions'!$I$13-'Elicitation of functions'!$I$11)/('Elicitation of functions'!$H$13-'Elicitation of functions'!$H$11)*(C15-'Elicitation of functions'!$H$11)+'Elicitation of functions'!$I$11)))</f>
        <v>0.82500000000000007</v>
      </c>
      <c r="N15" s="83">
        <f>IF(D15&lt;'Elicitation of functions'!$H$20,('Elicitation of functions'!$I$20-'Elicitation of functions'!$I$22)/('Elicitation of functions'!$H$20-'Elicitation of functions'!$H$22)*(D15-'Elicitation of functions'!$H$22)+'Elicitation of functions'!$I$22,IF(D15&lt;'Elicitation of functions'!$H$19,('Elicitation of functions'!$I$19-'Elicitation of functions'!$I$20)/('Elicitation of functions'!$H$19-'Elicitation of functions'!$H$20)*(D15-'Elicitation of functions'!$H$20)+'Elicitation of functions'!$I$20,IF(D15&lt;'Elicitation of functions'!$H$21,('Elicitation of functions'!$I$21-'Elicitation of functions'!$I$19)/('Elicitation of functions'!$H$21-'Elicitation of functions'!$H$19)*(D15-'Elicitation of functions'!$H$19)+'Elicitation of functions'!$I$19,('Elicitation of functions'!$I$23-'Elicitation of functions'!$I$21)/('Elicitation of functions'!$H$23-'Elicitation of functions'!$H$21)*(D15-'Elicitation of functions'!$H$21)+'Elicitation of functions'!$I$21)))</f>
        <v>0.87499999999999989</v>
      </c>
      <c r="O15" s="83">
        <f>INDEX('Elicitation of functions'!$K$29:$K$33,MATCH(E15,'Elicitation of functions'!$F$29:$F$33,0))</f>
        <v>0.4</v>
      </c>
      <c r="P15" s="83">
        <f>INDEX('Elicitation of functions'!$K$39:$K$43,MATCH(F15,'Elicitation of functions'!$F$39:$F$43,0))</f>
        <v>1</v>
      </c>
      <c r="Q15" s="83">
        <f>INDEX('Elicitation of functions'!$K$49:$K$52,MATCH(G15,'Elicitation of functions'!$F$49:$F$52,0))</f>
        <v>0</v>
      </c>
      <c r="R15" s="83">
        <f>IF(H15&lt;'Elicitation of functions'!$H$60,('Elicitation of functions'!$I$60-'Elicitation of functions'!$I$62)/('Elicitation of functions'!$H$60-'Elicitation of functions'!$H$62)*(H15-'Elicitation of functions'!$H$62)+'Elicitation of functions'!$I$62,IF(H15&lt;'Elicitation of functions'!$H$59,('Elicitation of functions'!$I$59-'Elicitation of functions'!$I$60)/('Elicitation of functions'!$H$59-'Elicitation of functions'!$H$60)*(H15-'Elicitation of functions'!$H$60)+'Elicitation of functions'!$I$60,IF(H15&lt;'Elicitation of functions'!$H$61,('Elicitation of functions'!$I$61-'Elicitation of functions'!$I$59)/('Elicitation of functions'!$H$61-'Elicitation of functions'!$H$59)*(H15-'Elicitation of functions'!$H$59)+'Elicitation of functions'!$I$59,('Elicitation of functions'!$I$63-'Elicitation of functions'!$I$61)/('Elicitation of functions'!$H$63-'Elicitation of functions'!$H$61)*(H15-'Elicitation of functions'!$H$61)+'Elicitation of functions'!$I$61)))</f>
        <v>0.33333333333333331</v>
      </c>
      <c r="S15" s="83">
        <f>IF(I15&lt;'Elicitation of functions'!$H$70,('Elicitation of functions'!$I$70-'Elicitation of functions'!$I$72)/('Elicitation of functions'!$H$70-'Elicitation of functions'!$H$72)*(I15-'Elicitation of functions'!$H$72)+'Elicitation of functions'!$I$72,IF(I15&lt;'Elicitation of functions'!$H$69,('Elicitation of functions'!$I$69-'Elicitation of functions'!$I$70)/('Elicitation of functions'!$H$69-'Elicitation of functions'!$H$70)*(I15-'Elicitation of functions'!$H$70)+'Elicitation of functions'!$I$70,IF(I15&lt;'Elicitation of functions'!$H$71,('Elicitation of functions'!$I$71-'Elicitation of functions'!$I$69)/('Elicitation of functions'!$H$71-'Elicitation of functions'!$H$69)*(I15-'Elicitation of functions'!$H$69)+'Elicitation of functions'!$I$69,('Elicitation of functions'!$I$73-'Elicitation of functions'!$I$71)/('Elicitation of functions'!$H$73-'Elicitation of functions'!$H$71)*(I15-'Elicitation of functions'!$H$71)+'Elicitation of functions'!$I$71)))</f>
        <v>0.59375</v>
      </c>
      <c r="T15" s="83">
        <f>INDEX('Elicitation of functions'!$K$79:$K$83,MATCH(J15,'Elicitation of functions'!$F$79:$F$83,0))</f>
        <v>0.35</v>
      </c>
      <c r="U15" s="77"/>
      <c r="V15" s="77">
        <v>1</v>
      </c>
      <c r="W15" s="77">
        <v>0</v>
      </c>
      <c r="X15" s="77">
        <v>0.33333299999999999</v>
      </c>
      <c r="Y15" s="77">
        <v>0.59375</v>
      </c>
      <c r="Z15" s="77">
        <v>0.35</v>
      </c>
    </row>
    <row r="16" spans="1:26" ht="14.5">
      <c r="A16" s="77"/>
      <c r="B16" s="79" t="s">
        <v>77</v>
      </c>
      <c r="C16" s="81">
        <v>0.82</v>
      </c>
      <c r="D16" s="81">
        <v>0.8</v>
      </c>
      <c r="E16" s="82" t="s">
        <v>18</v>
      </c>
      <c r="F16" s="82">
        <v>1</v>
      </c>
      <c r="G16" s="82" t="s">
        <v>48</v>
      </c>
      <c r="H16" s="81">
        <v>0.4</v>
      </c>
      <c r="I16" s="81">
        <v>0.95</v>
      </c>
      <c r="J16" s="82">
        <v>4</v>
      </c>
      <c r="K16" s="77"/>
      <c r="L16" s="79" t="str">
        <f t="shared" si="1"/>
        <v>Elite Mentor Network / Smart Work-Study</v>
      </c>
      <c r="M16" s="83">
        <f>IF(C16&lt;'Elicitation of functions'!$H$10,('Elicitation of functions'!$I$10-'Elicitation of functions'!$I$12)/('Elicitation of functions'!$H$10-'Elicitation of functions'!$H$12)*(C16-'Elicitation of functions'!$H$12)+'Elicitation of functions'!$I$12,IF(C16&lt;'Elicitation of functions'!$H$9,('Elicitation of functions'!$I$9-'Elicitation of functions'!$I$10)/('Elicitation of functions'!$H$9-'Elicitation of functions'!$H$10)*(C16-'Elicitation of functions'!$H$10)+'Elicitation of functions'!$I$10,IF(C16&lt;'Elicitation of functions'!$H$11,('Elicitation of functions'!$I$11-'Elicitation of functions'!$I$9)/('Elicitation of functions'!$H$11-'Elicitation of functions'!$H$9)*(C16-'Elicitation of functions'!$H$9)+'Elicitation of functions'!$I$9,('Elicitation of functions'!$I$13-'Elicitation of functions'!$I$11)/('Elicitation of functions'!$H$13-'Elicitation of functions'!$H$11)*(C16-'Elicitation of functions'!$H$11)+'Elicitation of functions'!$I$11)))</f>
        <v>0.59999999999999964</v>
      </c>
      <c r="N16" s="83">
        <f>IF(D16&lt;'Elicitation of functions'!$H$20,('Elicitation of functions'!$I$20-'Elicitation of functions'!$I$22)/('Elicitation of functions'!$H$20-'Elicitation of functions'!$H$22)*(D16-'Elicitation of functions'!$H$22)+'Elicitation of functions'!$I$22,IF(D16&lt;'Elicitation of functions'!$H$19,('Elicitation of functions'!$I$19-'Elicitation of functions'!$I$20)/('Elicitation of functions'!$H$19-'Elicitation of functions'!$H$20)*(D16-'Elicitation of functions'!$H$20)+'Elicitation of functions'!$I$20,IF(D16&lt;'Elicitation of functions'!$H$21,('Elicitation of functions'!$I$21-'Elicitation of functions'!$I$19)/('Elicitation of functions'!$H$21-'Elicitation of functions'!$H$19)*(D16-'Elicitation of functions'!$H$19)+'Elicitation of functions'!$I$19,('Elicitation of functions'!$I$23-'Elicitation of functions'!$I$21)/('Elicitation of functions'!$H$23-'Elicitation of functions'!$H$21)*(D16-'Elicitation of functions'!$H$21)+'Elicitation of functions'!$I$21)))</f>
        <v>0.75</v>
      </c>
      <c r="O16" s="83">
        <f>INDEX('Elicitation of functions'!$K$29:$K$33,MATCH(E16,'Elicitation of functions'!$F$29:$F$33,0))</f>
        <v>1</v>
      </c>
      <c r="P16" s="83">
        <f>INDEX('Elicitation of functions'!$K$39:$K$43,MATCH(F16,'Elicitation of functions'!$F$39:$F$43,0))</f>
        <v>0.3</v>
      </c>
      <c r="Q16" s="83">
        <f>INDEX('Elicitation of functions'!$K$49:$K$52,MATCH(G16,'Elicitation of functions'!$F$49:$F$52,0))</f>
        <v>0.75</v>
      </c>
      <c r="R16" s="83">
        <f>IF(H16&lt;'Elicitation of functions'!$H$60,('Elicitation of functions'!$I$60-'Elicitation of functions'!$I$62)/('Elicitation of functions'!$H$60-'Elicitation of functions'!$H$62)*(H16-'Elicitation of functions'!$H$62)+'Elicitation of functions'!$I$62,IF(H16&lt;'Elicitation of functions'!$H$59,('Elicitation of functions'!$I$59-'Elicitation of functions'!$I$60)/('Elicitation of functions'!$H$59-'Elicitation of functions'!$H$60)*(H16-'Elicitation of functions'!$H$60)+'Elicitation of functions'!$I$60,IF(H16&lt;'Elicitation of functions'!$H$61,('Elicitation of functions'!$I$61-'Elicitation of functions'!$I$59)/('Elicitation of functions'!$H$61-'Elicitation of functions'!$H$59)*(H16-'Elicitation of functions'!$H$59)+'Elicitation of functions'!$I$59,('Elicitation of functions'!$I$63-'Elicitation of functions'!$I$61)/('Elicitation of functions'!$H$63-'Elicitation of functions'!$H$61)*(H16-'Elicitation of functions'!$H$61)+'Elicitation of functions'!$I$61)))</f>
        <v>0.41666666666666674</v>
      </c>
      <c r="S16" s="83">
        <f>IF(I16&lt;'Elicitation of functions'!$H$70,('Elicitation of functions'!$I$70-'Elicitation of functions'!$I$72)/('Elicitation of functions'!$H$70-'Elicitation of functions'!$H$72)*(I16-'Elicitation of functions'!$H$72)+'Elicitation of functions'!$I$72,IF(I16&lt;'Elicitation of functions'!$H$69,('Elicitation of functions'!$I$69-'Elicitation of functions'!$I$70)/('Elicitation of functions'!$H$69-'Elicitation of functions'!$H$70)*(I16-'Elicitation of functions'!$H$70)+'Elicitation of functions'!$I$70,IF(I16&lt;'Elicitation of functions'!$H$71,('Elicitation of functions'!$I$71-'Elicitation of functions'!$I$69)/('Elicitation of functions'!$H$71-'Elicitation of functions'!$H$69)*(I16-'Elicitation of functions'!$H$69)+'Elicitation of functions'!$I$69,('Elicitation of functions'!$I$73-'Elicitation of functions'!$I$71)/('Elicitation of functions'!$H$73-'Elicitation of functions'!$H$71)*(I16-'Elicitation of functions'!$H$71)+'Elicitation of functions'!$I$71)))</f>
        <v>1</v>
      </c>
      <c r="T16" s="83">
        <f>INDEX('Elicitation of functions'!$K$79:$K$83,MATCH(J16,'Elicitation of functions'!$F$79:$F$83,0))</f>
        <v>0.7</v>
      </c>
      <c r="U16" s="77"/>
      <c r="V16" s="77">
        <v>0.3</v>
      </c>
      <c r="W16" s="77">
        <v>0.75</v>
      </c>
      <c r="X16" s="77">
        <v>0.41666700000000001</v>
      </c>
      <c r="Y16" s="77">
        <v>1</v>
      </c>
      <c r="Z16" s="77">
        <v>0.7</v>
      </c>
    </row>
    <row r="17" spans="1:26" ht="14.5">
      <c r="A17" s="77"/>
      <c r="B17" s="79" t="s">
        <v>78</v>
      </c>
      <c r="C17" s="81">
        <v>0.78</v>
      </c>
      <c r="D17" s="81">
        <v>0.68</v>
      </c>
      <c r="E17" s="82" t="s">
        <v>43</v>
      </c>
      <c r="F17" s="82">
        <v>2</v>
      </c>
      <c r="G17" s="82" t="s">
        <v>25</v>
      </c>
      <c r="H17" s="81">
        <v>0.55000000000000004</v>
      </c>
      <c r="I17" s="81">
        <v>0.82</v>
      </c>
      <c r="J17" s="82">
        <v>4</v>
      </c>
      <c r="K17" s="77"/>
      <c r="L17" s="79" t="str">
        <f t="shared" si="1"/>
        <v>AI Governance Board / Assessment Integrity</v>
      </c>
      <c r="M17" s="83">
        <f>IF(C17&lt;'Elicitation of functions'!$H$10,('Elicitation of functions'!$I$10-'Elicitation of functions'!$I$12)/('Elicitation of functions'!$H$10-'Elicitation of functions'!$H$12)*(C17-'Elicitation of functions'!$H$12)+'Elicitation of functions'!$I$12,IF(C17&lt;'Elicitation of functions'!$H$9,('Elicitation of functions'!$I$9-'Elicitation of functions'!$I$10)/('Elicitation of functions'!$H$9-'Elicitation of functions'!$H$10)*(C17-'Elicitation of functions'!$H$10)+'Elicitation of functions'!$I$10,IF(C17&lt;'Elicitation of functions'!$H$11,('Elicitation of functions'!$I$11-'Elicitation of functions'!$I$9)/('Elicitation of functions'!$H$11-'Elicitation of functions'!$H$9)*(C17-'Elicitation of functions'!$H$9)+'Elicitation of functions'!$I$9,('Elicitation of functions'!$I$13-'Elicitation of functions'!$I$11)/('Elicitation of functions'!$H$13-'Elicitation of functions'!$H$11)*(C17-'Elicitation of functions'!$H$11)+'Elicitation of functions'!$I$11)))</f>
        <v>0.4375</v>
      </c>
      <c r="N17" s="83">
        <f>IF(D17&lt;'Elicitation of functions'!$H$20,('Elicitation of functions'!$I$20-'Elicitation of functions'!$I$22)/('Elicitation of functions'!$H$20-'Elicitation of functions'!$H$22)*(D17-'Elicitation of functions'!$H$22)+'Elicitation of functions'!$I$22,IF(D17&lt;'Elicitation of functions'!$H$19,('Elicitation of functions'!$I$19-'Elicitation of functions'!$I$20)/('Elicitation of functions'!$H$19-'Elicitation of functions'!$H$20)*(D17-'Elicitation of functions'!$H$20)+'Elicitation of functions'!$I$20,IF(D17&lt;'Elicitation of functions'!$H$21,('Elicitation of functions'!$I$21-'Elicitation of functions'!$I$19)/('Elicitation of functions'!$H$21-'Elicitation of functions'!$H$19)*(D17-'Elicitation of functions'!$H$19)+'Elicitation of functions'!$I$19,('Elicitation of functions'!$I$23-'Elicitation of functions'!$I$21)/('Elicitation of functions'!$H$23-'Elicitation of functions'!$H$21)*(D17-'Elicitation of functions'!$H$21)+'Elicitation of functions'!$I$21)))</f>
        <v>0.35714285714285732</v>
      </c>
      <c r="O17" s="83">
        <f>INDEX('Elicitation of functions'!$K$29:$K$33,MATCH(E17,'Elicitation of functions'!$F$29:$F$33,0))</f>
        <v>0.2</v>
      </c>
      <c r="P17" s="83">
        <f>INDEX('Elicitation of functions'!$K$39:$K$43,MATCH(F17,'Elicitation of functions'!$F$39:$F$43,0))</f>
        <v>0.5</v>
      </c>
      <c r="Q17" s="83">
        <f>INDEX('Elicitation of functions'!$K$49:$K$52,MATCH(G17,'Elicitation of functions'!$F$49:$F$52,0))</f>
        <v>1</v>
      </c>
      <c r="R17" s="83">
        <f>IF(H17&lt;'Elicitation of functions'!$H$60,('Elicitation of functions'!$I$60-'Elicitation of functions'!$I$62)/('Elicitation of functions'!$H$60-'Elicitation of functions'!$H$62)*(H17-'Elicitation of functions'!$H$62)+'Elicitation of functions'!$I$62,IF(H17&lt;'Elicitation of functions'!$H$59,('Elicitation of functions'!$I$59-'Elicitation of functions'!$I$60)/('Elicitation of functions'!$H$59-'Elicitation of functions'!$H$60)*(H17-'Elicitation of functions'!$H$60)+'Elicitation of functions'!$I$60,IF(H17&lt;'Elicitation of functions'!$H$61,('Elicitation of functions'!$I$61-'Elicitation of functions'!$I$59)/('Elicitation of functions'!$H$61-'Elicitation of functions'!$H$59)*(H17-'Elicitation of functions'!$H$59)+'Elicitation of functions'!$I$59,('Elicitation of functions'!$I$63-'Elicitation of functions'!$I$61)/('Elicitation of functions'!$H$63-'Elicitation of functions'!$H$61)*(H17-'Elicitation of functions'!$H$61)+'Elicitation of functions'!$I$61)))</f>
        <v>0.58333333333333337</v>
      </c>
      <c r="S17" s="83">
        <f>IF(I17&lt;'Elicitation of functions'!$H$70,('Elicitation of functions'!$I$70-'Elicitation of functions'!$I$72)/('Elicitation of functions'!$H$70-'Elicitation of functions'!$H$72)*(I17-'Elicitation of functions'!$H$72)+'Elicitation of functions'!$I$72,IF(I17&lt;'Elicitation of functions'!$H$69,('Elicitation of functions'!$I$69-'Elicitation of functions'!$I$70)/('Elicitation of functions'!$H$69-'Elicitation of functions'!$H$70)*(I17-'Elicitation of functions'!$H$70)+'Elicitation of functions'!$I$70,IF(I17&lt;'Elicitation of functions'!$H$71,('Elicitation of functions'!$I$71-'Elicitation of functions'!$I$69)/('Elicitation of functions'!$H$71-'Elicitation of functions'!$H$69)*(I17-'Elicitation of functions'!$H$69)+'Elicitation of functions'!$I$69,('Elicitation of functions'!$I$73-'Elicitation of functions'!$I$71)/('Elicitation of functions'!$H$73-'Elicitation of functions'!$H$71)*(I17-'Elicitation of functions'!$H$71)+'Elicitation of functions'!$I$71)))</f>
        <v>0.5</v>
      </c>
      <c r="T17" s="83">
        <f>INDEX('Elicitation of functions'!$K$79:$K$83,MATCH(J17,'Elicitation of functions'!$F$79:$F$83,0))</f>
        <v>0.7</v>
      </c>
      <c r="U17" s="77"/>
      <c r="V17" s="77">
        <v>0.5</v>
      </c>
      <c r="W17" s="77">
        <v>1</v>
      </c>
      <c r="X17" s="77">
        <v>0.58333299999999999</v>
      </c>
      <c r="Y17" s="77">
        <v>0.5</v>
      </c>
      <c r="Z17" s="77">
        <v>0.7</v>
      </c>
    </row>
    <row r="18" spans="1:26" ht="14.5">
      <c r="A18" s="77"/>
      <c r="B18" s="79" t="s">
        <v>79</v>
      </c>
      <c r="C18" s="81">
        <v>0.82</v>
      </c>
      <c r="D18" s="81">
        <v>0.75</v>
      </c>
      <c r="E18" s="82" t="s">
        <v>43</v>
      </c>
      <c r="F18" s="82">
        <v>3</v>
      </c>
      <c r="G18" s="82" t="s">
        <v>48</v>
      </c>
      <c r="H18" s="81">
        <v>0.85</v>
      </c>
      <c r="I18" s="81">
        <v>0.85</v>
      </c>
      <c r="J18" s="82">
        <v>2</v>
      </c>
      <c r="K18" s="77"/>
      <c r="L18" s="79" t="str">
        <f t="shared" si="1"/>
        <v>Aalto-Controlled Core Infrastructure</v>
      </c>
      <c r="M18" s="83">
        <f>IF(C18&lt;'Elicitation of functions'!$H$10,('Elicitation of functions'!$I$10-'Elicitation of functions'!$I$12)/('Elicitation of functions'!$H$10-'Elicitation of functions'!$H$12)*(C18-'Elicitation of functions'!$H$12)+'Elicitation of functions'!$I$12,IF(C18&lt;'Elicitation of functions'!$H$9,('Elicitation of functions'!$I$9-'Elicitation of functions'!$I$10)/('Elicitation of functions'!$H$9-'Elicitation of functions'!$H$10)*(C18-'Elicitation of functions'!$H$10)+'Elicitation of functions'!$I$10,IF(C18&lt;'Elicitation of functions'!$H$11,('Elicitation of functions'!$I$11-'Elicitation of functions'!$I$9)/('Elicitation of functions'!$H$11-'Elicitation of functions'!$H$9)*(C18-'Elicitation of functions'!$H$9)+'Elicitation of functions'!$I$9,('Elicitation of functions'!$I$13-'Elicitation of functions'!$I$11)/('Elicitation of functions'!$H$13-'Elicitation of functions'!$H$11)*(C18-'Elicitation of functions'!$H$11)+'Elicitation of functions'!$I$11)))</f>
        <v>0.59999999999999964</v>
      </c>
      <c r="N18" s="83">
        <f>IF(D18&lt;'Elicitation of functions'!$H$20,('Elicitation of functions'!$I$20-'Elicitation of functions'!$I$22)/('Elicitation of functions'!$H$20-'Elicitation of functions'!$H$22)*(D18-'Elicitation of functions'!$H$22)+'Elicitation of functions'!$I$22,IF(D18&lt;'Elicitation of functions'!$H$19,('Elicitation of functions'!$I$19-'Elicitation of functions'!$I$20)/('Elicitation of functions'!$H$19-'Elicitation of functions'!$H$20)*(D18-'Elicitation of functions'!$H$20)+'Elicitation of functions'!$I$20,IF(D18&lt;'Elicitation of functions'!$H$21,('Elicitation of functions'!$I$21-'Elicitation of functions'!$I$19)/('Elicitation of functions'!$H$21-'Elicitation of functions'!$H$19)*(D18-'Elicitation of functions'!$H$19)+'Elicitation of functions'!$I$19,('Elicitation of functions'!$I$23-'Elicitation of functions'!$I$21)/('Elicitation of functions'!$H$23-'Elicitation of functions'!$H$21)*(D18-'Elicitation of functions'!$H$21)+'Elicitation of functions'!$I$21)))</f>
        <v>0.59375</v>
      </c>
      <c r="O18" s="83">
        <f>INDEX('Elicitation of functions'!$K$29:$K$33,MATCH(E18,'Elicitation of functions'!$F$29:$F$33,0))</f>
        <v>0.2</v>
      </c>
      <c r="P18" s="83">
        <f>INDEX('Elicitation of functions'!$K$39:$K$43,MATCH(F18,'Elicitation of functions'!$F$39:$F$43,0))</f>
        <v>0.8</v>
      </c>
      <c r="Q18" s="83">
        <f>INDEX('Elicitation of functions'!$K$49:$K$52,MATCH(G18,'Elicitation of functions'!$F$49:$F$52,0))</f>
        <v>0.75</v>
      </c>
      <c r="R18" s="83">
        <f>IF(H18&lt;'Elicitation of functions'!$H$60,('Elicitation of functions'!$I$60-'Elicitation of functions'!$I$62)/('Elicitation of functions'!$H$60-'Elicitation of functions'!$H$62)*(H18-'Elicitation of functions'!$H$62)+'Elicitation of functions'!$I$62,IF(H18&lt;'Elicitation of functions'!$H$59,('Elicitation of functions'!$I$59-'Elicitation of functions'!$I$60)/('Elicitation of functions'!$H$59-'Elicitation of functions'!$H$60)*(H18-'Elicitation of functions'!$H$60)+'Elicitation of functions'!$I$60,IF(H18&lt;'Elicitation of functions'!$H$61,('Elicitation of functions'!$I$61-'Elicitation of functions'!$I$59)/('Elicitation of functions'!$H$61-'Elicitation of functions'!$H$59)*(H18-'Elicitation of functions'!$H$59)+'Elicitation of functions'!$I$59,('Elicitation of functions'!$I$63-'Elicitation of functions'!$I$61)/('Elicitation of functions'!$H$63-'Elicitation of functions'!$H$61)*(H18-'Elicitation of functions'!$H$61)+'Elicitation of functions'!$I$61)))</f>
        <v>0.91666666666666663</v>
      </c>
      <c r="S18" s="83">
        <f>IF(I18&lt;'Elicitation of functions'!$H$70,('Elicitation of functions'!$I$70-'Elicitation of functions'!$I$72)/('Elicitation of functions'!$H$70-'Elicitation of functions'!$H$72)*(I18-'Elicitation of functions'!$H$72)+'Elicitation of functions'!$I$72,IF(I18&lt;'Elicitation of functions'!$H$69,('Elicitation of functions'!$I$69-'Elicitation of functions'!$I$70)/('Elicitation of functions'!$H$69-'Elicitation of functions'!$H$70)*(I18-'Elicitation of functions'!$H$70)+'Elicitation of functions'!$I$70,IF(I18&lt;'Elicitation of functions'!$H$71,('Elicitation of functions'!$I$71-'Elicitation of functions'!$I$69)/('Elicitation of functions'!$H$71-'Elicitation of functions'!$H$69)*(I18-'Elicitation of functions'!$H$69)+'Elicitation of functions'!$I$69,('Elicitation of functions'!$I$73-'Elicitation of functions'!$I$71)/('Elicitation of functions'!$H$73-'Elicitation of functions'!$H$71)*(I18-'Elicitation of functions'!$H$71)+'Elicitation of functions'!$I$71)))</f>
        <v>0.59375</v>
      </c>
      <c r="T18" s="83">
        <f>INDEX('Elicitation of functions'!$K$79:$K$83,MATCH(J18,'Elicitation of functions'!$F$79:$F$83,0))</f>
        <v>0.2</v>
      </c>
      <c r="U18" s="77"/>
      <c r="V18" s="77">
        <v>0.8</v>
      </c>
      <c r="W18" s="77">
        <v>0.75</v>
      </c>
      <c r="X18" s="77">
        <v>0.91666700000000001</v>
      </c>
      <c r="Y18" s="77">
        <v>0.59375</v>
      </c>
      <c r="Z18" s="77">
        <v>0.2</v>
      </c>
    </row>
    <row r="19" spans="1:26" ht="14.5">
      <c r="A19" s="77"/>
      <c r="B19" s="79" t="s">
        <v>80</v>
      </c>
      <c r="C19" s="81">
        <v>0.85</v>
      </c>
      <c r="D19" s="81">
        <v>0.82</v>
      </c>
      <c r="E19" s="82" t="s">
        <v>45</v>
      </c>
      <c r="F19" s="82">
        <v>4</v>
      </c>
      <c r="G19" s="82" t="s">
        <v>47</v>
      </c>
      <c r="H19" s="81">
        <v>0.45</v>
      </c>
      <c r="I19" s="81">
        <v>0.92</v>
      </c>
      <c r="J19" s="82">
        <v>4</v>
      </c>
      <c r="K19" s="77"/>
      <c r="L19" s="79" t="str">
        <f t="shared" si="1"/>
        <v>Aalto-Certified Micro-Credentials</v>
      </c>
      <c r="M19" s="83">
        <f>IF(C19&lt;'Elicitation of functions'!$H$10,('Elicitation of functions'!$I$10-'Elicitation of functions'!$I$12)/('Elicitation of functions'!$H$10-'Elicitation of functions'!$H$12)*(C19-'Elicitation of functions'!$H$12)+'Elicitation of functions'!$I$12,IF(C19&lt;'Elicitation of functions'!$H$9,('Elicitation of functions'!$I$9-'Elicitation of functions'!$I$10)/('Elicitation of functions'!$H$9-'Elicitation of functions'!$H$10)*(C19-'Elicitation of functions'!$H$10)+'Elicitation of functions'!$I$10,IF(C19&lt;'Elicitation of functions'!$H$11,('Elicitation of functions'!$I$11-'Elicitation of functions'!$I$9)/('Elicitation of functions'!$H$11-'Elicitation of functions'!$H$9)*(C19-'Elicitation of functions'!$H$9)+'Elicitation of functions'!$I$9,('Elicitation of functions'!$I$13-'Elicitation of functions'!$I$11)/('Elicitation of functions'!$H$13-'Elicitation of functions'!$H$11)*(C19-'Elicitation of functions'!$H$11)+'Elicitation of functions'!$I$11)))</f>
        <v>0.75</v>
      </c>
      <c r="N19" s="83">
        <f>IF(D19&lt;'Elicitation of functions'!$H$20,('Elicitation of functions'!$I$20-'Elicitation of functions'!$I$22)/('Elicitation of functions'!$H$20-'Elicitation of functions'!$H$22)*(D19-'Elicitation of functions'!$H$22)+'Elicitation of functions'!$I$22,IF(D19&lt;'Elicitation of functions'!$H$19,('Elicitation of functions'!$I$19-'Elicitation of functions'!$I$20)/('Elicitation of functions'!$H$19-'Elicitation of functions'!$H$20)*(D19-'Elicitation of functions'!$H$20)+'Elicitation of functions'!$I$20,IF(D19&lt;'Elicitation of functions'!$H$21,('Elicitation of functions'!$I$21-'Elicitation of functions'!$I$19)/('Elicitation of functions'!$H$21-'Elicitation of functions'!$H$19)*(D19-'Elicitation of functions'!$H$19)+'Elicitation of functions'!$I$19,('Elicitation of functions'!$I$23-'Elicitation of functions'!$I$21)/('Elicitation of functions'!$H$23-'Elicitation of functions'!$H$21)*(D19-'Elicitation of functions'!$H$21)+'Elicitation of functions'!$I$21)))</f>
        <v>0.79999999999999982</v>
      </c>
      <c r="O19" s="83">
        <f>INDEX('Elicitation of functions'!$K$29:$K$33,MATCH(E19,'Elicitation of functions'!$F$29:$F$33,0))</f>
        <v>0.7</v>
      </c>
      <c r="P19" s="83">
        <f>INDEX('Elicitation of functions'!$K$39:$K$43,MATCH(F19,'Elicitation of functions'!$F$39:$F$43,0))</f>
        <v>1</v>
      </c>
      <c r="Q19" s="83">
        <f>INDEX('Elicitation of functions'!$K$49:$K$52,MATCH(G19,'Elicitation of functions'!$F$49:$F$52,0))</f>
        <v>0.5</v>
      </c>
      <c r="R19" s="83">
        <f>IF(H19&lt;'Elicitation of functions'!$H$60,('Elicitation of functions'!$I$60-'Elicitation of functions'!$I$62)/('Elicitation of functions'!$H$60-'Elicitation of functions'!$H$62)*(H19-'Elicitation of functions'!$H$62)+'Elicitation of functions'!$I$62,IF(H19&lt;'Elicitation of functions'!$H$59,('Elicitation of functions'!$I$59-'Elicitation of functions'!$I$60)/('Elicitation of functions'!$H$59-'Elicitation of functions'!$H$60)*(H19-'Elicitation of functions'!$H$60)+'Elicitation of functions'!$I$60,IF(H19&lt;'Elicitation of functions'!$H$61,('Elicitation of functions'!$I$61-'Elicitation of functions'!$I$59)/('Elicitation of functions'!$H$61-'Elicitation of functions'!$H$59)*(H19-'Elicitation of functions'!$H$59)+'Elicitation of functions'!$I$59,('Elicitation of functions'!$I$63-'Elicitation of functions'!$I$61)/('Elicitation of functions'!$H$63-'Elicitation of functions'!$H$61)*(H19-'Elicitation of functions'!$H$61)+'Elicitation of functions'!$I$61)))</f>
        <v>0.5</v>
      </c>
      <c r="S19" s="83">
        <f>IF(I19&lt;'Elicitation of functions'!$H$70,('Elicitation of functions'!$I$70-'Elicitation of functions'!$I$72)/('Elicitation of functions'!$H$70-'Elicitation of functions'!$H$72)*(I19-'Elicitation of functions'!$H$72)+'Elicitation of functions'!$I$72,IF(I19&lt;'Elicitation of functions'!$H$69,('Elicitation of functions'!$I$69-'Elicitation of functions'!$I$70)/('Elicitation of functions'!$H$69-'Elicitation of functions'!$H$70)*(I19-'Elicitation of functions'!$H$70)+'Elicitation of functions'!$I$70,IF(I19&lt;'Elicitation of functions'!$H$71,('Elicitation of functions'!$I$71-'Elicitation of functions'!$I$69)/('Elicitation of functions'!$H$71-'Elicitation of functions'!$H$69)*(I19-'Elicitation of functions'!$H$69)+'Elicitation of functions'!$I$69,('Elicitation of functions'!$I$73-'Elicitation of functions'!$I$71)/('Elicitation of functions'!$H$73-'Elicitation of functions'!$H$71)*(I19-'Elicitation of functions'!$H$71)+'Elicitation of functions'!$I$71)))</f>
        <v>0.8500000000000002</v>
      </c>
      <c r="T19" s="83">
        <f>INDEX('Elicitation of functions'!$K$79:$K$83,MATCH(J19,'Elicitation of functions'!$F$79:$F$83,0))</f>
        <v>0.7</v>
      </c>
      <c r="U19" s="77"/>
      <c r="V19" s="77">
        <v>1</v>
      </c>
      <c r="W19" s="77">
        <v>0.5</v>
      </c>
      <c r="X19" s="77">
        <v>0.5</v>
      </c>
      <c r="Y19" s="77">
        <v>0.85</v>
      </c>
      <c r="Z19" s="77">
        <v>0.7</v>
      </c>
    </row>
    <row r="20" spans="1:26" ht="14.5">
      <c r="A20" s="77"/>
      <c r="B20" s="79" t="s">
        <v>81</v>
      </c>
      <c r="C20" s="81">
        <v>0.88</v>
      </c>
      <c r="D20" s="81">
        <v>0.8</v>
      </c>
      <c r="E20" s="82" t="s">
        <v>45</v>
      </c>
      <c r="F20" s="82">
        <v>3</v>
      </c>
      <c r="G20" s="82" t="s">
        <v>48</v>
      </c>
      <c r="H20" s="81">
        <v>0.45</v>
      </c>
      <c r="I20" s="81">
        <v>0.85</v>
      </c>
      <c r="J20" s="82">
        <v>3</v>
      </c>
      <c r="K20" s="77"/>
      <c r="L20" s="79" t="str">
        <f t="shared" si="1"/>
        <v>Pedagogical Training for Staff</v>
      </c>
      <c r="M20" s="83">
        <f>IF(C20&lt;'Elicitation of functions'!$H$10,('Elicitation of functions'!$I$10-'Elicitation of functions'!$I$12)/('Elicitation of functions'!$H$10-'Elicitation of functions'!$H$12)*(C20-'Elicitation of functions'!$H$12)+'Elicitation of functions'!$I$12,IF(C20&lt;'Elicitation of functions'!$H$9,('Elicitation of functions'!$I$9-'Elicitation of functions'!$I$10)/('Elicitation of functions'!$H$9-'Elicitation of functions'!$H$10)*(C20-'Elicitation of functions'!$H$10)+'Elicitation of functions'!$I$10,IF(C20&lt;'Elicitation of functions'!$H$11,('Elicitation of functions'!$I$11-'Elicitation of functions'!$I$9)/('Elicitation of functions'!$H$11-'Elicitation of functions'!$H$9)*(C20-'Elicitation of functions'!$H$9)+'Elicitation of functions'!$I$9,('Elicitation of functions'!$I$13-'Elicitation of functions'!$I$11)/('Elicitation of functions'!$H$13-'Elicitation of functions'!$H$11)*(C20-'Elicitation of functions'!$H$11)+'Elicitation of functions'!$I$11)))</f>
        <v>0.82500000000000007</v>
      </c>
      <c r="N20" s="83">
        <f>IF(D20&lt;'Elicitation of functions'!$H$20,('Elicitation of functions'!$I$20-'Elicitation of functions'!$I$22)/('Elicitation of functions'!$H$20-'Elicitation of functions'!$H$22)*(D20-'Elicitation of functions'!$H$22)+'Elicitation of functions'!$I$22,IF(D20&lt;'Elicitation of functions'!$H$19,('Elicitation of functions'!$I$19-'Elicitation of functions'!$I$20)/('Elicitation of functions'!$H$19-'Elicitation of functions'!$H$20)*(D20-'Elicitation of functions'!$H$20)+'Elicitation of functions'!$I$20,IF(D20&lt;'Elicitation of functions'!$H$21,('Elicitation of functions'!$I$21-'Elicitation of functions'!$I$19)/('Elicitation of functions'!$H$21-'Elicitation of functions'!$H$19)*(D20-'Elicitation of functions'!$H$19)+'Elicitation of functions'!$I$19,('Elicitation of functions'!$I$23-'Elicitation of functions'!$I$21)/('Elicitation of functions'!$H$23-'Elicitation of functions'!$H$21)*(D20-'Elicitation of functions'!$H$21)+'Elicitation of functions'!$I$21)))</f>
        <v>0.75</v>
      </c>
      <c r="O20" s="83">
        <f>INDEX('Elicitation of functions'!$K$29:$K$33,MATCH(E20,'Elicitation of functions'!$F$29:$F$33,0))</f>
        <v>0.7</v>
      </c>
      <c r="P20" s="83">
        <f>INDEX('Elicitation of functions'!$K$39:$K$43,MATCH(F20,'Elicitation of functions'!$F$39:$F$43,0))</f>
        <v>0.8</v>
      </c>
      <c r="Q20" s="83">
        <f>INDEX('Elicitation of functions'!$K$49:$K$52,MATCH(G20,'Elicitation of functions'!$F$49:$F$52,0))</f>
        <v>0.75</v>
      </c>
      <c r="R20" s="83">
        <f>IF(H20&lt;'Elicitation of functions'!$H$60,('Elicitation of functions'!$I$60-'Elicitation of functions'!$I$62)/('Elicitation of functions'!$H$60-'Elicitation of functions'!$H$62)*(H20-'Elicitation of functions'!$H$62)+'Elicitation of functions'!$I$62,IF(H20&lt;'Elicitation of functions'!$H$59,('Elicitation of functions'!$I$59-'Elicitation of functions'!$I$60)/('Elicitation of functions'!$H$59-'Elicitation of functions'!$H$60)*(H20-'Elicitation of functions'!$H$60)+'Elicitation of functions'!$I$60,IF(H20&lt;'Elicitation of functions'!$H$61,('Elicitation of functions'!$I$61-'Elicitation of functions'!$I$59)/('Elicitation of functions'!$H$61-'Elicitation of functions'!$H$59)*(H20-'Elicitation of functions'!$H$59)+'Elicitation of functions'!$I$59,('Elicitation of functions'!$I$63-'Elicitation of functions'!$I$61)/('Elicitation of functions'!$H$63-'Elicitation of functions'!$H$61)*(H20-'Elicitation of functions'!$H$61)+'Elicitation of functions'!$I$61)))</f>
        <v>0.5</v>
      </c>
      <c r="S20" s="83">
        <f>IF(I20&lt;'Elicitation of functions'!$H$70,('Elicitation of functions'!$I$70-'Elicitation of functions'!$I$72)/('Elicitation of functions'!$H$70-'Elicitation of functions'!$H$72)*(I20-'Elicitation of functions'!$H$72)+'Elicitation of functions'!$I$72,IF(I20&lt;'Elicitation of functions'!$H$69,('Elicitation of functions'!$I$69-'Elicitation of functions'!$I$70)/('Elicitation of functions'!$H$69-'Elicitation of functions'!$H$70)*(I20-'Elicitation of functions'!$H$70)+'Elicitation of functions'!$I$70,IF(I20&lt;'Elicitation of functions'!$H$71,('Elicitation of functions'!$I$71-'Elicitation of functions'!$I$69)/('Elicitation of functions'!$H$71-'Elicitation of functions'!$H$69)*(I20-'Elicitation of functions'!$H$69)+'Elicitation of functions'!$I$69,('Elicitation of functions'!$I$73-'Elicitation of functions'!$I$71)/('Elicitation of functions'!$H$73-'Elicitation of functions'!$H$71)*(I20-'Elicitation of functions'!$H$71)+'Elicitation of functions'!$I$71)))</f>
        <v>0.59375</v>
      </c>
      <c r="T20" s="83">
        <f>INDEX('Elicitation of functions'!$K$79:$K$83,MATCH(J20,'Elicitation of functions'!$F$79:$F$83,0))</f>
        <v>0.35</v>
      </c>
      <c r="U20" s="77"/>
      <c r="V20" s="77">
        <v>0.8</v>
      </c>
      <c r="W20" s="77">
        <v>0.75</v>
      </c>
      <c r="X20" s="77">
        <v>0.5</v>
      </c>
      <c r="Y20" s="77">
        <v>0.59375</v>
      </c>
      <c r="Z20" s="77">
        <v>0.35</v>
      </c>
    </row>
    <row r="21" spans="1:26" ht="14.5">
      <c r="A21" s="77"/>
      <c r="B21" s="79" t="s">
        <v>82</v>
      </c>
      <c r="C21" s="81">
        <v>0.8</v>
      </c>
      <c r="D21" s="81">
        <v>0.72</v>
      </c>
      <c r="E21" s="82" t="s">
        <v>44</v>
      </c>
      <c r="F21" s="82">
        <v>2</v>
      </c>
      <c r="G21" s="82" t="s">
        <v>48</v>
      </c>
      <c r="H21" s="81">
        <v>0.55000000000000004</v>
      </c>
      <c r="I21" s="81">
        <v>0.88</v>
      </c>
      <c r="J21" s="82">
        <v>3</v>
      </c>
      <c r="K21" s="77"/>
      <c r="L21" s="79" t="str">
        <f t="shared" si="1"/>
        <v>Nordic-Baltic Tech Alliance</v>
      </c>
      <c r="M21" s="83">
        <f>IF(C21&lt;'Elicitation of functions'!$H$10,('Elicitation of functions'!$I$10-'Elicitation of functions'!$I$12)/('Elicitation of functions'!$H$10-'Elicitation of functions'!$H$12)*(C21-'Elicitation of functions'!$H$12)+'Elicitation of functions'!$I$12,IF(C21&lt;'Elicitation of functions'!$H$9,('Elicitation of functions'!$I$9-'Elicitation of functions'!$I$10)/('Elicitation of functions'!$H$9-'Elicitation of functions'!$H$10)*(C21-'Elicitation of functions'!$H$10)+'Elicitation of functions'!$I$10,IF(C21&lt;'Elicitation of functions'!$H$11,('Elicitation of functions'!$I$11-'Elicitation of functions'!$I$9)/('Elicitation of functions'!$H$11-'Elicitation of functions'!$H$9)*(C21-'Elicitation of functions'!$H$9)+'Elicitation of functions'!$I$9,('Elicitation of functions'!$I$13-'Elicitation of functions'!$I$11)/('Elicitation of functions'!$H$13-'Elicitation of functions'!$H$11)*(C21-'Elicitation of functions'!$H$11)+'Elicitation of functions'!$I$11)))</f>
        <v>0.5</v>
      </c>
      <c r="N21" s="83">
        <f>IF(D21&lt;'Elicitation of functions'!$H$20,('Elicitation of functions'!$I$20-'Elicitation of functions'!$I$22)/('Elicitation of functions'!$H$20-'Elicitation of functions'!$H$22)*(D21-'Elicitation of functions'!$H$22)+'Elicitation of functions'!$I$22,IF(D21&lt;'Elicitation of functions'!$H$19,('Elicitation of functions'!$I$19-'Elicitation of functions'!$I$20)/('Elicitation of functions'!$H$19-'Elicitation of functions'!$H$20)*(D21-'Elicitation of functions'!$H$20)+'Elicitation of functions'!$I$20,IF(D21&lt;'Elicitation of functions'!$H$21,('Elicitation of functions'!$I$21-'Elicitation of functions'!$I$19)/('Elicitation of functions'!$H$21-'Elicitation of functions'!$H$19)*(D21-'Elicitation of functions'!$H$19)+'Elicitation of functions'!$I$19,('Elicitation of functions'!$I$23-'Elicitation of functions'!$I$21)/('Elicitation of functions'!$H$23-'Elicitation of functions'!$H$21)*(D21-'Elicitation of functions'!$H$21)+'Elicitation of functions'!$I$21)))</f>
        <v>0.5</v>
      </c>
      <c r="O21" s="83">
        <f>INDEX('Elicitation of functions'!$K$29:$K$33,MATCH(E21,'Elicitation of functions'!$F$29:$F$33,0))</f>
        <v>0.4</v>
      </c>
      <c r="P21" s="83">
        <f>INDEX('Elicitation of functions'!$K$39:$K$43,MATCH(F21,'Elicitation of functions'!$F$39:$F$43,0))</f>
        <v>0.5</v>
      </c>
      <c r="Q21" s="83">
        <f>INDEX('Elicitation of functions'!$K$49:$K$52,MATCH(G21,'Elicitation of functions'!$F$49:$F$52,0))</f>
        <v>0.75</v>
      </c>
      <c r="R21" s="83">
        <f>IF(H21&lt;'Elicitation of functions'!$H$60,('Elicitation of functions'!$I$60-'Elicitation of functions'!$I$62)/('Elicitation of functions'!$H$60-'Elicitation of functions'!$H$62)*(H21-'Elicitation of functions'!$H$62)+'Elicitation of functions'!$I$62,IF(H21&lt;'Elicitation of functions'!$H$59,('Elicitation of functions'!$I$59-'Elicitation of functions'!$I$60)/('Elicitation of functions'!$H$59-'Elicitation of functions'!$H$60)*(H21-'Elicitation of functions'!$H$60)+'Elicitation of functions'!$I$60,IF(H21&lt;'Elicitation of functions'!$H$61,('Elicitation of functions'!$I$61-'Elicitation of functions'!$I$59)/('Elicitation of functions'!$H$61-'Elicitation of functions'!$H$59)*(H21-'Elicitation of functions'!$H$59)+'Elicitation of functions'!$I$59,('Elicitation of functions'!$I$63-'Elicitation of functions'!$I$61)/('Elicitation of functions'!$H$63-'Elicitation of functions'!$H$61)*(H21-'Elicitation of functions'!$H$61)+'Elicitation of functions'!$I$61)))</f>
        <v>0.58333333333333337</v>
      </c>
      <c r="S21" s="83">
        <f>IF(I21&lt;'Elicitation of functions'!$H$70,('Elicitation of functions'!$I$70-'Elicitation of functions'!$I$72)/('Elicitation of functions'!$H$70-'Elicitation of functions'!$H$72)*(I21-'Elicitation of functions'!$H$72)+'Elicitation of functions'!$I$72,IF(I21&lt;'Elicitation of functions'!$H$69,('Elicitation of functions'!$I$69-'Elicitation of functions'!$I$70)/('Elicitation of functions'!$H$69-'Elicitation of functions'!$H$70)*(I21-'Elicitation of functions'!$H$70)+'Elicitation of functions'!$I$70,IF(I21&lt;'Elicitation of functions'!$H$71,('Elicitation of functions'!$I$71-'Elicitation of functions'!$I$69)/('Elicitation of functions'!$H$71-'Elicitation of functions'!$H$69)*(I21-'Elicitation of functions'!$H$69)+'Elicitation of functions'!$I$69,('Elicitation of functions'!$I$73-'Elicitation of functions'!$I$71)/('Elicitation of functions'!$H$73-'Elicitation of functions'!$H$71)*(I21-'Elicitation of functions'!$H$71)+'Elicitation of functions'!$I$71)))</f>
        <v>0.6875</v>
      </c>
      <c r="T21" s="83">
        <f>INDEX('Elicitation of functions'!$K$79:$K$83,MATCH(J21,'Elicitation of functions'!$F$79:$F$83,0))</f>
        <v>0.35</v>
      </c>
      <c r="U21" s="77"/>
      <c r="V21" s="77">
        <v>0.5</v>
      </c>
      <c r="W21" s="77">
        <v>0.75</v>
      </c>
      <c r="X21" s="77">
        <v>0.58333299999999999</v>
      </c>
      <c r="Y21" s="77">
        <v>0.6875</v>
      </c>
      <c r="Z21" s="77">
        <v>0.35</v>
      </c>
    </row>
    <row r="22" spans="1:26" ht="15" customHeight="1">
      <c r="A22" s="77"/>
      <c r="B22" s="12" t="s">
        <v>85</v>
      </c>
      <c r="C22" s="12"/>
      <c r="D22" s="12"/>
      <c r="E22" s="12"/>
      <c r="F22" s="12"/>
      <c r="G22" s="12"/>
      <c r="H22" s="12"/>
      <c r="I22" s="12"/>
      <c r="J22" s="12"/>
      <c r="K22" s="77"/>
      <c r="L22" s="12" t="s">
        <v>86</v>
      </c>
      <c r="M22" s="12"/>
      <c r="N22" s="12"/>
      <c r="O22" s="12"/>
      <c r="P22" s="12"/>
      <c r="Q22" s="12"/>
      <c r="R22" s="12"/>
      <c r="S22" s="12"/>
      <c r="T22" s="12"/>
      <c r="U22" s="77"/>
      <c r="V22" s="77"/>
      <c r="W22" s="77"/>
      <c r="X22" s="77"/>
      <c r="Y22" s="77"/>
      <c r="Z22" s="77"/>
    </row>
    <row r="23" spans="1:26" ht="14.5">
      <c r="A23" s="77"/>
      <c r="B23" s="84" t="s">
        <v>69</v>
      </c>
      <c r="C23" s="85" t="s">
        <v>70</v>
      </c>
      <c r="D23" s="85" t="s">
        <v>71</v>
      </c>
      <c r="E23" s="85" t="s">
        <v>15</v>
      </c>
      <c r="F23" s="85" t="s">
        <v>72</v>
      </c>
      <c r="G23" s="85" t="s">
        <v>23</v>
      </c>
      <c r="H23" s="85" t="s">
        <v>73</v>
      </c>
      <c r="I23" s="85" t="s">
        <v>74</v>
      </c>
      <c r="J23" s="85" t="s">
        <v>75</v>
      </c>
      <c r="K23" s="77"/>
      <c r="L23" s="84" t="s">
        <v>69</v>
      </c>
      <c r="M23" s="85" t="s">
        <v>70</v>
      </c>
      <c r="N23" s="85" t="s">
        <v>71</v>
      </c>
      <c r="O23" s="85" t="s">
        <v>15</v>
      </c>
      <c r="P23" s="85" t="s">
        <v>72</v>
      </c>
      <c r="Q23" s="85" t="s">
        <v>23</v>
      </c>
      <c r="R23" s="85" t="s">
        <v>73</v>
      </c>
      <c r="S23" s="85" t="s">
        <v>74</v>
      </c>
      <c r="T23" s="85" t="s">
        <v>75</v>
      </c>
      <c r="U23" s="77"/>
      <c r="V23" s="77"/>
      <c r="W23" s="77"/>
      <c r="X23" s="77"/>
      <c r="Y23" s="77"/>
      <c r="Z23" s="77"/>
    </row>
    <row r="24" spans="1:26" ht="15" customHeight="1">
      <c r="A24" s="77"/>
      <c r="B24" s="86" t="s">
        <v>76</v>
      </c>
      <c r="C24" s="87">
        <v>0.8</v>
      </c>
      <c r="D24" s="87">
        <v>0.75</v>
      </c>
      <c r="E24" s="88" t="s">
        <v>17</v>
      </c>
      <c r="F24" s="88">
        <v>2</v>
      </c>
      <c r="G24" s="88" t="s">
        <v>24</v>
      </c>
      <c r="H24" s="87">
        <v>0.45</v>
      </c>
      <c r="I24" s="87">
        <v>0.8</v>
      </c>
      <c r="J24" s="88">
        <v>2</v>
      </c>
      <c r="K24" s="77"/>
      <c r="L24" s="86" t="str">
        <f t="shared" ref="L24:L30" si="2">B24</f>
        <v>AI-Enabled Student Guidance</v>
      </c>
      <c r="M24" s="89">
        <f>IF(C24&lt;'Elicitation of functions'!$H$10,('Elicitation of functions'!$I$10-'Elicitation of functions'!$I$12)/('Elicitation of functions'!$H$10-'Elicitation of functions'!$H$12)*(C24-'Elicitation of functions'!$H$12)+'Elicitation of functions'!$I$12,IF(C24&lt;'Elicitation of functions'!$H$9,('Elicitation of functions'!$I$9-'Elicitation of functions'!$I$10)/('Elicitation of functions'!$H$9-'Elicitation of functions'!$H$10)*(C24-'Elicitation of functions'!$H$10)+'Elicitation of functions'!$I$10,IF(C24&lt;'Elicitation of functions'!$H$11,('Elicitation of functions'!$I$11-'Elicitation of functions'!$I$9)/('Elicitation of functions'!$H$11-'Elicitation of functions'!$H$9)*(C24-'Elicitation of functions'!$H$9)+'Elicitation of functions'!$I$9,('Elicitation of functions'!$I$13-'Elicitation of functions'!$I$11)/('Elicitation of functions'!$H$13-'Elicitation of functions'!$H$11)*(C24-'Elicitation of functions'!$H$11)+'Elicitation of functions'!$I$11)))</f>
        <v>0.5</v>
      </c>
      <c r="N24" s="89">
        <f>IF(D24&lt;'Elicitation of functions'!$H$20,('Elicitation of functions'!$I$20-'Elicitation of functions'!$I$22)/('Elicitation of functions'!$H$20-'Elicitation of functions'!$H$22)*(D24-'Elicitation of functions'!$H$22)+'Elicitation of functions'!$I$22,IF(D24&lt;'Elicitation of functions'!$H$19,('Elicitation of functions'!$I$19-'Elicitation of functions'!$I$20)/('Elicitation of functions'!$H$19-'Elicitation of functions'!$H$20)*(D24-'Elicitation of functions'!$H$20)+'Elicitation of functions'!$I$20,IF(D24&lt;'Elicitation of functions'!$H$21,('Elicitation of functions'!$I$21-'Elicitation of functions'!$I$19)/('Elicitation of functions'!$H$21-'Elicitation of functions'!$H$19)*(D24-'Elicitation of functions'!$H$19)+'Elicitation of functions'!$I$19,('Elicitation of functions'!$I$23-'Elicitation of functions'!$I$21)/('Elicitation of functions'!$H$23-'Elicitation of functions'!$H$21)*(D24-'Elicitation of functions'!$H$21)+'Elicitation of functions'!$I$21)))</f>
        <v>0.59375</v>
      </c>
      <c r="O24" s="89">
        <f>INDEX('Elicitation of functions'!$K$29:$K$33,MATCH(E24,'Elicitation of functions'!$F$29:$F$33,0))</f>
        <v>0</v>
      </c>
      <c r="P24" s="89">
        <f>INDEX('Elicitation of functions'!$K$39:$K$43,MATCH(F24,'Elicitation of functions'!$F$39:$F$43,0))</f>
        <v>0.5</v>
      </c>
      <c r="Q24" s="89">
        <f>INDEX('Elicitation of functions'!$K$49:$K$52,MATCH(G24,'Elicitation of functions'!$F$49:$F$52,0))</f>
        <v>0</v>
      </c>
      <c r="R24" s="89">
        <f>IF(H24&lt;'Elicitation of functions'!$H$60,('Elicitation of functions'!$I$60-'Elicitation of functions'!$I$62)/('Elicitation of functions'!$H$60-'Elicitation of functions'!$H$62)*(H24-'Elicitation of functions'!$H$62)+'Elicitation of functions'!$I$62,IF(H24&lt;'Elicitation of functions'!$H$59,('Elicitation of functions'!$I$59-'Elicitation of functions'!$I$60)/('Elicitation of functions'!$H$59-'Elicitation of functions'!$H$60)*(H24-'Elicitation of functions'!$H$60)+'Elicitation of functions'!$I$60,IF(H24&lt;'Elicitation of functions'!$H$61,('Elicitation of functions'!$I$61-'Elicitation of functions'!$I$59)/('Elicitation of functions'!$H$61-'Elicitation of functions'!$H$59)*(H24-'Elicitation of functions'!$H$59)+'Elicitation of functions'!$I$59,('Elicitation of functions'!$I$63-'Elicitation of functions'!$I$61)/('Elicitation of functions'!$H$63-'Elicitation of functions'!$H$61)*(H24-'Elicitation of functions'!$H$61)+'Elicitation of functions'!$I$61)))</f>
        <v>0.5</v>
      </c>
      <c r="S24" s="89">
        <f>IF(I24&lt;'Elicitation of functions'!$H$70,('Elicitation of functions'!$I$70-'Elicitation of functions'!$I$72)/('Elicitation of functions'!$H$70-'Elicitation of functions'!$H$72)*(I24-'Elicitation of functions'!$H$72)+'Elicitation of functions'!$I$72,IF(I24&lt;'Elicitation of functions'!$H$69,('Elicitation of functions'!$I$69-'Elicitation of functions'!$I$70)/('Elicitation of functions'!$H$69-'Elicitation of functions'!$H$70)*(I24-'Elicitation of functions'!$H$70)+'Elicitation of functions'!$I$70,IF(I24&lt;'Elicitation of functions'!$H$71,('Elicitation of functions'!$I$71-'Elicitation of functions'!$I$69)/('Elicitation of functions'!$H$71-'Elicitation of functions'!$H$69)*(I24-'Elicitation of functions'!$H$69)+'Elicitation of functions'!$I$69,('Elicitation of functions'!$I$73-'Elicitation of functions'!$I$71)/('Elicitation of functions'!$H$73-'Elicitation of functions'!$H$71)*(I24-'Elicitation of functions'!$H$71)+'Elicitation of functions'!$I$71)))</f>
        <v>0.45454545454545475</v>
      </c>
      <c r="T24" s="89">
        <f>INDEX('Elicitation of functions'!$K$79:$K$83,MATCH(J24,'Elicitation of functions'!$F$79:$F$83,0))</f>
        <v>0.2</v>
      </c>
      <c r="U24" s="77"/>
      <c r="V24" s="77">
        <v>0.5</v>
      </c>
      <c r="W24" s="77">
        <v>0</v>
      </c>
      <c r="X24" s="77">
        <v>0.5</v>
      </c>
      <c r="Y24" s="77">
        <v>0.45454499999999998</v>
      </c>
      <c r="Z24" s="77">
        <v>0.2</v>
      </c>
    </row>
    <row r="25" spans="1:26" ht="14.5">
      <c r="A25" s="77"/>
      <c r="B25" s="86" t="s">
        <v>77</v>
      </c>
      <c r="C25" s="87">
        <v>0.8</v>
      </c>
      <c r="D25" s="87">
        <v>0.72</v>
      </c>
      <c r="E25" s="88" t="s">
        <v>45</v>
      </c>
      <c r="F25" s="88">
        <v>0</v>
      </c>
      <c r="G25" s="88" t="s">
        <v>48</v>
      </c>
      <c r="H25" s="87">
        <v>0.5</v>
      </c>
      <c r="I25" s="87">
        <v>0.88</v>
      </c>
      <c r="J25" s="88">
        <v>3</v>
      </c>
      <c r="K25" s="77"/>
      <c r="L25" s="86" t="str">
        <f t="shared" si="2"/>
        <v>Elite Mentor Network / Smart Work-Study</v>
      </c>
      <c r="M25" s="89">
        <f>IF(C25&lt;'Elicitation of functions'!$H$10,('Elicitation of functions'!$I$10-'Elicitation of functions'!$I$12)/('Elicitation of functions'!$H$10-'Elicitation of functions'!$H$12)*(C25-'Elicitation of functions'!$H$12)+'Elicitation of functions'!$I$12,IF(C25&lt;'Elicitation of functions'!$H$9,('Elicitation of functions'!$I$9-'Elicitation of functions'!$I$10)/('Elicitation of functions'!$H$9-'Elicitation of functions'!$H$10)*(C25-'Elicitation of functions'!$H$10)+'Elicitation of functions'!$I$10,IF(C25&lt;'Elicitation of functions'!$H$11,('Elicitation of functions'!$I$11-'Elicitation of functions'!$I$9)/('Elicitation of functions'!$H$11-'Elicitation of functions'!$H$9)*(C25-'Elicitation of functions'!$H$9)+'Elicitation of functions'!$I$9,('Elicitation of functions'!$I$13-'Elicitation of functions'!$I$11)/('Elicitation of functions'!$H$13-'Elicitation of functions'!$H$11)*(C25-'Elicitation of functions'!$H$11)+'Elicitation of functions'!$I$11)))</f>
        <v>0.5</v>
      </c>
      <c r="N25" s="89">
        <f>IF(D25&lt;'Elicitation of functions'!$H$20,('Elicitation of functions'!$I$20-'Elicitation of functions'!$I$22)/('Elicitation of functions'!$H$20-'Elicitation of functions'!$H$22)*(D25-'Elicitation of functions'!$H$22)+'Elicitation of functions'!$I$22,IF(D25&lt;'Elicitation of functions'!$H$19,('Elicitation of functions'!$I$19-'Elicitation of functions'!$I$20)/('Elicitation of functions'!$H$19-'Elicitation of functions'!$H$20)*(D25-'Elicitation of functions'!$H$20)+'Elicitation of functions'!$I$20,IF(D25&lt;'Elicitation of functions'!$H$21,('Elicitation of functions'!$I$21-'Elicitation of functions'!$I$19)/('Elicitation of functions'!$H$21-'Elicitation of functions'!$H$19)*(D25-'Elicitation of functions'!$H$19)+'Elicitation of functions'!$I$19,('Elicitation of functions'!$I$23-'Elicitation of functions'!$I$21)/('Elicitation of functions'!$H$23-'Elicitation of functions'!$H$21)*(D25-'Elicitation of functions'!$H$21)+'Elicitation of functions'!$I$21)))</f>
        <v>0.5</v>
      </c>
      <c r="O25" s="89">
        <f>INDEX('Elicitation of functions'!$K$29:$K$33,MATCH(E25,'Elicitation of functions'!$F$29:$F$33,0))</f>
        <v>0.7</v>
      </c>
      <c r="P25" s="89">
        <f>INDEX('Elicitation of functions'!$K$39:$K$43,MATCH(F25,'Elicitation of functions'!$F$39:$F$43,0))</f>
        <v>0</v>
      </c>
      <c r="Q25" s="89">
        <f>INDEX('Elicitation of functions'!$K$49:$K$52,MATCH(G25,'Elicitation of functions'!$F$49:$F$52,0))</f>
        <v>0.75</v>
      </c>
      <c r="R25" s="89">
        <f>IF(H25&lt;'Elicitation of functions'!$H$60,('Elicitation of functions'!$I$60-'Elicitation of functions'!$I$62)/('Elicitation of functions'!$H$60-'Elicitation of functions'!$H$62)*(H25-'Elicitation of functions'!$H$62)+'Elicitation of functions'!$I$62,IF(H25&lt;'Elicitation of functions'!$H$59,('Elicitation of functions'!$I$59-'Elicitation of functions'!$I$60)/('Elicitation of functions'!$H$59-'Elicitation of functions'!$H$60)*(H25-'Elicitation of functions'!$H$60)+'Elicitation of functions'!$I$60,IF(H25&lt;'Elicitation of functions'!$H$61,('Elicitation of functions'!$I$61-'Elicitation of functions'!$I$59)/('Elicitation of functions'!$H$61-'Elicitation of functions'!$H$59)*(H25-'Elicitation of functions'!$H$59)+'Elicitation of functions'!$I$59,('Elicitation of functions'!$I$63-'Elicitation of functions'!$I$61)/('Elicitation of functions'!$H$63-'Elicitation of functions'!$H$61)*(H25-'Elicitation of functions'!$H$61)+'Elicitation of functions'!$I$61)))</f>
        <v>0.54166666666666663</v>
      </c>
      <c r="S25" s="89">
        <f>IF(I25&lt;'Elicitation of functions'!$H$70,('Elicitation of functions'!$I$70-'Elicitation of functions'!$I$72)/('Elicitation of functions'!$H$70-'Elicitation of functions'!$H$72)*(I25-'Elicitation of functions'!$H$72)+'Elicitation of functions'!$I$72,IF(I25&lt;'Elicitation of functions'!$H$69,('Elicitation of functions'!$I$69-'Elicitation of functions'!$I$70)/('Elicitation of functions'!$H$69-'Elicitation of functions'!$H$70)*(I25-'Elicitation of functions'!$H$70)+'Elicitation of functions'!$I$70,IF(I25&lt;'Elicitation of functions'!$H$71,('Elicitation of functions'!$I$71-'Elicitation of functions'!$I$69)/('Elicitation of functions'!$H$71-'Elicitation of functions'!$H$69)*(I25-'Elicitation of functions'!$H$69)+'Elicitation of functions'!$I$69,('Elicitation of functions'!$I$73-'Elicitation of functions'!$I$71)/('Elicitation of functions'!$H$73-'Elicitation of functions'!$H$71)*(I25-'Elicitation of functions'!$H$71)+'Elicitation of functions'!$I$71)))</f>
        <v>0.6875</v>
      </c>
      <c r="T25" s="89">
        <f>INDEX('Elicitation of functions'!$K$79:$K$83,MATCH(J25,'Elicitation of functions'!$F$79:$F$83,0))</f>
        <v>0.35</v>
      </c>
      <c r="U25" s="77"/>
      <c r="V25" s="77">
        <v>0</v>
      </c>
      <c r="W25" s="77">
        <v>0.75</v>
      </c>
      <c r="X25" s="77">
        <v>0.54166700000000001</v>
      </c>
      <c r="Y25" s="77">
        <v>0.6875</v>
      </c>
      <c r="Z25" s="77">
        <v>0.35</v>
      </c>
    </row>
    <row r="26" spans="1:26" ht="14.5">
      <c r="A26" s="77"/>
      <c r="B26" s="86" t="s">
        <v>78</v>
      </c>
      <c r="C26" s="87">
        <v>0.75</v>
      </c>
      <c r="D26" s="87">
        <v>0.65</v>
      </c>
      <c r="E26" s="88" t="s">
        <v>44</v>
      </c>
      <c r="F26" s="88">
        <v>1</v>
      </c>
      <c r="G26" s="88" t="s">
        <v>25</v>
      </c>
      <c r="H26" s="87">
        <v>0.75</v>
      </c>
      <c r="I26" s="87">
        <v>0.78</v>
      </c>
      <c r="J26" s="88">
        <v>4</v>
      </c>
      <c r="K26" s="77"/>
      <c r="L26" s="86" t="str">
        <f t="shared" si="2"/>
        <v>AI Governance Board / Assessment Integrity</v>
      </c>
      <c r="M26" s="89">
        <f>IF(C26&lt;'Elicitation of functions'!$H$10,('Elicitation of functions'!$I$10-'Elicitation of functions'!$I$12)/('Elicitation of functions'!$H$10-'Elicitation of functions'!$H$12)*(C26-'Elicitation of functions'!$H$12)+'Elicitation of functions'!$I$12,IF(C26&lt;'Elicitation of functions'!$H$9,('Elicitation of functions'!$I$9-'Elicitation of functions'!$I$10)/('Elicitation of functions'!$H$9-'Elicitation of functions'!$H$10)*(C26-'Elicitation of functions'!$H$10)+'Elicitation of functions'!$I$10,IF(C26&lt;'Elicitation of functions'!$H$11,('Elicitation of functions'!$I$11-'Elicitation of functions'!$I$9)/('Elicitation of functions'!$H$11-'Elicitation of functions'!$H$9)*(C26-'Elicitation of functions'!$H$9)+'Elicitation of functions'!$I$9,('Elicitation of functions'!$I$13-'Elicitation of functions'!$I$11)/('Elicitation of functions'!$H$13-'Elicitation of functions'!$H$11)*(C26-'Elicitation of functions'!$H$11)+'Elicitation of functions'!$I$11)))</f>
        <v>0.34375</v>
      </c>
      <c r="N26" s="89">
        <f>IF(D26&lt;'Elicitation of functions'!$H$20,('Elicitation of functions'!$I$20-'Elicitation of functions'!$I$22)/('Elicitation of functions'!$H$20-'Elicitation of functions'!$H$22)*(D26-'Elicitation of functions'!$H$22)+'Elicitation of functions'!$I$22,IF(D26&lt;'Elicitation of functions'!$H$19,('Elicitation of functions'!$I$19-'Elicitation of functions'!$I$20)/('Elicitation of functions'!$H$19-'Elicitation of functions'!$H$20)*(D26-'Elicitation of functions'!$H$20)+'Elicitation of functions'!$I$20,IF(D26&lt;'Elicitation of functions'!$H$21,('Elicitation of functions'!$I$21-'Elicitation of functions'!$I$19)/('Elicitation of functions'!$H$21-'Elicitation of functions'!$H$19)*(D26-'Elicitation of functions'!$H$19)+'Elicitation of functions'!$I$19,('Elicitation of functions'!$I$23-'Elicitation of functions'!$I$21)/('Elicitation of functions'!$H$23-'Elicitation of functions'!$H$21)*(D26-'Elicitation of functions'!$H$21)+'Elicitation of functions'!$I$21)))</f>
        <v>0.25</v>
      </c>
      <c r="O26" s="89">
        <f>INDEX('Elicitation of functions'!$K$29:$K$33,MATCH(E26,'Elicitation of functions'!$F$29:$F$33,0))</f>
        <v>0.4</v>
      </c>
      <c r="P26" s="89">
        <f>INDEX('Elicitation of functions'!$K$39:$K$43,MATCH(F26,'Elicitation of functions'!$F$39:$F$43,0))</f>
        <v>0.3</v>
      </c>
      <c r="Q26" s="89">
        <f>INDEX('Elicitation of functions'!$K$49:$K$52,MATCH(G26,'Elicitation of functions'!$F$49:$F$52,0))</f>
        <v>1</v>
      </c>
      <c r="R26" s="89">
        <f>IF(H26&lt;'Elicitation of functions'!$H$60,('Elicitation of functions'!$I$60-'Elicitation of functions'!$I$62)/('Elicitation of functions'!$H$60-'Elicitation of functions'!$H$62)*(H26-'Elicitation of functions'!$H$62)+'Elicitation of functions'!$I$62,IF(H26&lt;'Elicitation of functions'!$H$59,('Elicitation of functions'!$I$59-'Elicitation of functions'!$I$60)/('Elicitation of functions'!$H$59-'Elicitation of functions'!$H$60)*(H26-'Elicitation of functions'!$H$60)+'Elicitation of functions'!$I$60,IF(H26&lt;'Elicitation of functions'!$H$61,('Elicitation of functions'!$I$61-'Elicitation of functions'!$I$59)/('Elicitation of functions'!$H$61-'Elicitation of functions'!$H$59)*(H26-'Elicitation of functions'!$H$59)+'Elicitation of functions'!$I$59,('Elicitation of functions'!$I$63-'Elicitation of functions'!$I$61)/('Elicitation of functions'!$H$63-'Elicitation of functions'!$H$61)*(H26-'Elicitation of functions'!$H$61)+'Elicitation of functions'!$I$61)))</f>
        <v>0.75</v>
      </c>
      <c r="S26" s="89">
        <f>IF(I26&lt;'Elicitation of functions'!$H$70,('Elicitation of functions'!$I$70-'Elicitation of functions'!$I$72)/('Elicitation of functions'!$H$70-'Elicitation of functions'!$H$72)*(I26-'Elicitation of functions'!$H$72)+'Elicitation of functions'!$I$72,IF(I26&lt;'Elicitation of functions'!$H$69,('Elicitation of functions'!$I$69-'Elicitation of functions'!$I$70)/('Elicitation of functions'!$H$69-'Elicitation of functions'!$H$70)*(I26-'Elicitation of functions'!$H$70)+'Elicitation of functions'!$I$70,IF(I26&lt;'Elicitation of functions'!$H$71,('Elicitation of functions'!$I$71-'Elicitation of functions'!$I$69)/('Elicitation of functions'!$H$71-'Elicitation of functions'!$H$69)*(I26-'Elicitation of functions'!$H$69)+'Elicitation of functions'!$I$69,('Elicitation of functions'!$I$73-'Elicitation of functions'!$I$71)/('Elicitation of functions'!$H$73-'Elicitation of functions'!$H$71)*(I26-'Elicitation of functions'!$H$71)+'Elicitation of functions'!$I$71)))</f>
        <v>0.40909090909090928</v>
      </c>
      <c r="T26" s="89">
        <f>INDEX('Elicitation of functions'!$K$79:$K$83,MATCH(J26,'Elicitation of functions'!$F$79:$F$83,0))</f>
        <v>0.7</v>
      </c>
      <c r="U26" s="77"/>
      <c r="V26" s="77">
        <v>0.3</v>
      </c>
      <c r="W26" s="77">
        <v>1</v>
      </c>
      <c r="X26" s="77">
        <v>0.75</v>
      </c>
      <c r="Y26" s="77">
        <v>0.40909099999999998</v>
      </c>
      <c r="Z26" s="77">
        <v>0.7</v>
      </c>
    </row>
    <row r="27" spans="1:26" ht="14.5">
      <c r="A27" s="77"/>
      <c r="B27" s="86" t="s">
        <v>79</v>
      </c>
      <c r="C27" s="87">
        <v>0.78</v>
      </c>
      <c r="D27" s="87">
        <v>0.7</v>
      </c>
      <c r="E27" s="88" t="s">
        <v>44</v>
      </c>
      <c r="F27" s="88">
        <v>1</v>
      </c>
      <c r="G27" s="88" t="s">
        <v>25</v>
      </c>
      <c r="H27" s="87">
        <v>0.9</v>
      </c>
      <c r="I27" s="87">
        <v>0.8</v>
      </c>
      <c r="J27" s="88">
        <v>3</v>
      </c>
      <c r="K27" s="77"/>
      <c r="L27" s="86" t="str">
        <f t="shared" si="2"/>
        <v>Aalto-Controlled Core Infrastructure</v>
      </c>
      <c r="M27" s="89">
        <f>IF(C27&lt;'Elicitation of functions'!$H$10,('Elicitation of functions'!$I$10-'Elicitation of functions'!$I$12)/('Elicitation of functions'!$H$10-'Elicitation of functions'!$H$12)*(C27-'Elicitation of functions'!$H$12)+'Elicitation of functions'!$I$12,IF(C27&lt;'Elicitation of functions'!$H$9,('Elicitation of functions'!$I$9-'Elicitation of functions'!$I$10)/('Elicitation of functions'!$H$9-'Elicitation of functions'!$H$10)*(C27-'Elicitation of functions'!$H$10)+'Elicitation of functions'!$I$10,IF(C27&lt;'Elicitation of functions'!$H$11,('Elicitation of functions'!$I$11-'Elicitation of functions'!$I$9)/('Elicitation of functions'!$H$11-'Elicitation of functions'!$H$9)*(C27-'Elicitation of functions'!$H$9)+'Elicitation of functions'!$I$9,('Elicitation of functions'!$I$13-'Elicitation of functions'!$I$11)/('Elicitation of functions'!$H$13-'Elicitation of functions'!$H$11)*(C27-'Elicitation of functions'!$H$11)+'Elicitation of functions'!$I$11)))</f>
        <v>0.4375</v>
      </c>
      <c r="N27" s="89">
        <f>IF(D27&lt;'Elicitation of functions'!$H$20,('Elicitation of functions'!$I$20-'Elicitation of functions'!$I$22)/('Elicitation of functions'!$H$20-'Elicitation of functions'!$H$22)*(D27-'Elicitation of functions'!$H$22)+'Elicitation of functions'!$I$22,IF(D27&lt;'Elicitation of functions'!$H$19,('Elicitation of functions'!$I$19-'Elicitation of functions'!$I$20)/('Elicitation of functions'!$H$19-'Elicitation of functions'!$H$20)*(D27-'Elicitation of functions'!$H$20)+'Elicitation of functions'!$I$20,IF(D27&lt;'Elicitation of functions'!$H$21,('Elicitation of functions'!$I$21-'Elicitation of functions'!$I$19)/('Elicitation of functions'!$H$21-'Elicitation of functions'!$H$19)*(D27-'Elicitation of functions'!$H$19)+'Elicitation of functions'!$I$19,('Elicitation of functions'!$I$23-'Elicitation of functions'!$I$21)/('Elicitation of functions'!$H$23-'Elicitation of functions'!$H$21)*(D27-'Elicitation of functions'!$H$21)+'Elicitation of functions'!$I$21)))</f>
        <v>0.42857142857142849</v>
      </c>
      <c r="O27" s="89">
        <f>INDEX('Elicitation of functions'!$K$29:$K$33,MATCH(E27,'Elicitation of functions'!$F$29:$F$33,0))</f>
        <v>0.4</v>
      </c>
      <c r="P27" s="89">
        <f>INDEX('Elicitation of functions'!$K$39:$K$43,MATCH(F27,'Elicitation of functions'!$F$39:$F$43,0))</f>
        <v>0.3</v>
      </c>
      <c r="Q27" s="89">
        <f>INDEX('Elicitation of functions'!$K$49:$K$52,MATCH(G27,'Elicitation of functions'!$F$49:$F$52,0))</f>
        <v>1</v>
      </c>
      <c r="R27" s="89">
        <f>IF(H27&lt;'Elicitation of functions'!$H$60,('Elicitation of functions'!$I$60-'Elicitation of functions'!$I$62)/('Elicitation of functions'!$H$60-'Elicitation of functions'!$H$62)*(H27-'Elicitation of functions'!$H$62)+'Elicitation of functions'!$I$62,IF(H27&lt;'Elicitation of functions'!$H$59,('Elicitation of functions'!$I$59-'Elicitation of functions'!$I$60)/('Elicitation of functions'!$H$59-'Elicitation of functions'!$H$60)*(H27-'Elicitation of functions'!$H$60)+'Elicitation of functions'!$I$60,IF(H27&lt;'Elicitation of functions'!$H$61,('Elicitation of functions'!$I$61-'Elicitation of functions'!$I$59)/('Elicitation of functions'!$H$61-'Elicitation of functions'!$H$59)*(H27-'Elicitation of functions'!$H$59)+'Elicitation of functions'!$I$59,('Elicitation of functions'!$I$63-'Elicitation of functions'!$I$61)/('Elicitation of functions'!$H$63-'Elicitation of functions'!$H$61)*(H27-'Elicitation of functions'!$H$61)+'Elicitation of functions'!$I$61)))</f>
        <v>1</v>
      </c>
      <c r="S27" s="89">
        <f>IF(I27&lt;'Elicitation of functions'!$H$70,('Elicitation of functions'!$I$70-'Elicitation of functions'!$I$72)/('Elicitation of functions'!$H$70-'Elicitation of functions'!$H$72)*(I27-'Elicitation of functions'!$H$72)+'Elicitation of functions'!$I$72,IF(I27&lt;'Elicitation of functions'!$H$69,('Elicitation of functions'!$I$69-'Elicitation of functions'!$I$70)/('Elicitation of functions'!$H$69-'Elicitation of functions'!$H$70)*(I27-'Elicitation of functions'!$H$70)+'Elicitation of functions'!$I$70,IF(I27&lt;'Elicitation of functions'!$H$71,('Elicitation of functions'!$I$71-'Elicitation of functions'!$I$69)/('Elicitation of functions'!$H$71-'Elicitation of functions'!$H$69)*(I27-'Elicitation of functions'!$H$69)+'Elicitation of functions'!$I$69,('Elicitation of functions'!$I$73-'Elicitation of functions'!$I$71)/('Elicitation of functions'!$H$73-'Elicitation of functions'!$H$71)*(I27-'Elicitation of functions'!$H$71)+'Elicitation of functions'!$I$71)))</f>
        <v>0.45454545454545475</v>
      </c>
      <c r="T27" s="89">
        <f>INDEX('Elicitation of functions'!$K$79:$K$83,MATCH(J27,'Elicitation of functions'!$F$79:$F$83,0))</f>
        <v>0.35</v>
      </c>
      <c r="U27" s="77"/>
      <c r="V27" s="77">
        <v>0.3</v>
      </c>
      <c r="W27" s="77">
        <v>1</v>
      </c>
      <c r="X27" s="77">
        <v>1</v>
      </c>
      <c r="Y27" s="77">
        <v>0.45454499999999998</v>
      </c>
      <c r="Z27" s="77">
        <v>0.35</v>
      </c>
    </row>
    <row r="28" spans="1:26" ht="14.5">
      <c r="A28" s="77"/>
      <c r="B28" s="86" t="s">
        <v>80</v>
      </c>
      <c r="C28" s="87">
        <v>0.75</v>
      </c>
      <c r="D28" s="87">
        <v>0.7</v>
      </c>
      <c r="E28" s="88" t="s">
        <v>43</v>
      </c>
      <c r="F28" s="88">
        <v>2</v>
      </c>
      <c r="G28" s="88" t="s">
        <v>47</v>
      </c>
      <c r="H28" s="87">
        <v>0.55000000000000004</v>
      </c>
      <c r="I28" s="87">
        <v>0.85</v>
      </c>
      <c r="J28" s="88">
        <v>2</v>
      </c>
      <c r="K28" s="77"/>
      <c r="L28" s="86" t="str">
        <f t="shared" si="2"/>
        <v>Aalto-Certified Micro-Credentials</v>
      </c>
      <c r="M28" s="89">
        <f>IF(C28&lt;'Elicitation of functions'!$H$10,('Elicitation of functions'!$I$10-'Elicitation of functions'!$I$12)/('Elicitation of functions'!$H$10-'Elicitation of functions'!$H$12)*(C28-'Elicitation of functions'!$H$12)+'Elicitation of functions'!$I$12,IF(C28&lt;'Elicitation of functions'!$H$9,('Elicitation of functions'!$I$9-'Elicitation of functions'!$I$10)/('Elicitation of functions'!$H$9-'Elicitation of functions'!$H$10)*(C28-'Elicitation of functions'!$H$10)+'Elicitation of functions'!$I$10,IF(C28&lt;'Elicitation of functions'!$H$11,('Elicitation of functions'!$I$11-'Elicitation of functions'!$I$9)/('Elicitation of functions'!$H$11-'Elicitation of functions'!$H$9)*(C28-'Elicitation of functions'!$H$9)+'Elicitation of functions'!$I$9,('Elicitation of functions'!$I$13-'Elicitation of functions'!$I$11)/('Elicitation of functions'!$H$13-'Elicitation of functions'!$H$11)*(C28-'Elicitation of functions'!$H$11)+'Elicitation of functions'!$I$11)))</f>
        <v>0.34375</v>
      </c>
      <c r="N28" s="89">
        <f>IF(D28&lt;'Elicitation of functions'!$H$20,('Elicitation of functions'!$I$20-'Elicitation of functions'!$I$22)/('Elicitation of functions'!$H$20-'Elicitation of functions'!$H$22)*(D28-'Elicitation of functions'!$H$22)+'Elicitation of functions'!$I$22,IF(D28&lt;'Elicitation of functions'!$H$19,('Elicitation of functions'!$I$19-'Elicitation of functions'!$I$20)/('Elicitation of functions'!$H$19-'Elicitation of functions'!$H$20)*(D28-'Elicitation of functions'!$H$20)+'Elicitation of functions'!$I$20,IF(D28&lt;'Elicitation of functions'!$H$21,('Elicitation of functions'!$I$21-'Elicitation of functions'!$I$19)/('Elicitation of functions'!$H$21-'Elicitation of functions'!$H$19)*(D28-'Elicitation of functions'!$H$19)+'Elicitation of functions'!$I$19,('Elicitation of functions'!$I$23-'Elicitation of functions'!$I$21)/('Elicitation of functions'!$H$23-'Elicitation of functions'!$H$21)*(D28-'Elicitation of functions'!$H$21)+'Elicitation of functions'!$I$21)))</f>
        <v>0.42857142857142849</v>
      </c>
      <c r="O28" s="89">
        <f>INDEX('Elicitation of functions'!$K$29:$K$33,MATCH(E28,'Elicitation of functions'!$F$29:$F$33,0))</f>
        <v>0.2</v>
      </c>
      <c r="P28" s="89">
        <f>INDEX('Elicitation of functions'!$K$39:$K$43,MATCH(F28,'Elicitation of functions'!$F$39:$F$43,0))</f>
        <v>0.5</v>
      </c>
      <c r="Q28" s="89">
        <f>INDEX('Elicitation of functions'!$K$49:$K$52,MATCH(G28,'Elicitation of functions'!$F$49:$F$52,0))</f>
        <v>0.5</v>
      </c>
      <c r="R28" s="89">
        <f>IF(H28&lt;'Elicitation of functions'!$H$60,('Elicitation of functions'!$I$60-'Elicitation of functions'!$I$62)/('Elicitation of functions'!$H$60-'Elicitation of functions'!$H$62)*(H28-'Elicitation of functions'!$H$62)+'Elicitation of functions'!$I$62,IF(H28&lt;'Elicitation of functions'!$H$59,('Elicitation of functions'!$I$59-'Elicitation of functions'!$I$60)/('Elicitation of functions'!$H$59-'Elicitation of functions'!$H$60)*(H28-'Elicitation of functions'!$H$60)+'Elicitation of functions'!$I$60,IF(H28&lt;'Elicitation of functions'!$H$61,('Elicitation of functions'!$I$61-'Elicitation of functions'!$I$59)/('Elicitation of functions'!$H$61-'Elicitation of functions'!$H$59)*(H28-'Elicitation of functions'!$H$59)+'Elicitation of functions'!$I$59,('Elicitation of functions'!$I$63-'Elicitation of functions'!$I$61)/('Elicitation of functions'!$H$63-'Elicitation of functions'!$H$61)*(H28-'Elicitation of functions'!$H$61)+'Elicitation of functions'!$I$61)))</f>
        <v>0.58333333333333337</v>
      </c>
      <c r="S28" s="89">
        <f>IF(I28&lt;'Elicitation of functions'!$H$70,('Elicitation of functions'!$I$70-'Elicitation of functions'!$I$72)/('Elicitation of functions'!$H$70-'Elicitation of functions'!$H$72)*(I28-'Elicitation of functions'!$H$72)+'Elicitation of functions'!$I$72,IF(I28&lt;'Elicitation of functions'!$H$69,('Elicitation of functions'!$I$69-'Elicitation of functions'!$I$70)/('Elicitation of functions'!$H$69-'Elicitation of functions'!$H$70)*(I28-'Elicitation of functions'!$H$70)+'Elicitation of functions'!$I$70,IF(I28&lt;'Elicitation of functions'!$H$71,('Elicitation of functions'!$I$71-'Elicitation of functions'!$I$69)/('Elicitation of functions'!$H$71-'Elicitation of functions'!$H$69)*(I28-'Elicitation of functions'!$H$69)+'Elicitation of functions'!$I$69,('Elicitation of functions'!$I$73-'Elicitation of functions'!$I$71)/('Elicitation of functions'!$H$73-'Elicitation of functions'!$H$71)*(I28-'Elicitation of functions'!$H$71)+'Elicitation of functions'!$I$71)))</f>
        <v>0.59375</v>
      </c>
      <c r="T28" s="89">
        <f>INDEX('Elicitation of functions'!$K$79:$K$83,MATCH(J28,'Elicitation of functions'!$F$79:$F$83,0))</f>
        <v>0.2</v>
      </c>
      <c r="U28" s="77"/>
      <c r="V28" s="77">
        <v>0.5</v>
      </c>
      <c r="W28" s="77">
        <v>0.5</v>
      </c>
      <c r="X28" s="77">
        <v>0.58333299999999999</v>
      </c>
      <c r="Y28" s="77">
        <v>0.59375</v>
      </c>
      <c r="Z28" s="77">
        <v>0.2</v>
      </c>
    </row>
    <row r="29" spans="1:26" ht="14.5">
      <c r="A29" s="77"/>
      <c r="B29" s="86" t="s">
        <v>81</v>
      </c>
      <c r="C29" s="87">
        <v>0.82</v>
      </c>
      <c r="D29" s="87">
        <v>0.75</v>
      </c>
      <c r="E29" s="88" t="s">
        <v>44</v>
      </c>
      <c r="F29" s="88">
        <v>1</v>
      </c>
      <c r="G29" s="88" t="s">
        <v>48</v>
      </c>
      <c r="H29" s="87">
        <v>0.55000000000000004</v>
      </c>
      <c r="I29" s="87">
        <v>0.82</v>
      </c>
      <c r="J29" s="88">
        <v>3</v>
      </c>
      <c r="K29" s="77"/>
      <c r="L29" s="86" t="str">
        <f t="shared" si="2"/>
        <v>Pedagogical Training for Staff</v>
      </c>
      <c r="M29" s="89">
        <f>IF(C29&lt;'Elicitation of functions'!$H$10,('Elicitation of functions'!$I$10-'Elicitation of functions'!$I$12)/('Elicitation of functions'!$H$10-'Elicitation of functions'!$H$12)*(C29-'Elicitation of functions'!$H$12)+'Elicitation of functions'!$I$12,IF(C29&lt;'Elicitation of functions'!$H$9,('Elicitation of functions'!$I$9-'Elicitation of functions'!$I$10)/('Elicitation of functions'!$H$9-'Elicitation of functions'!$H$10)*(C29-'Elicitation of functions'!$H$10)+'Elicitation of functions'!$I$10,IF(C29&lt;'Elicitation of functions'!$H$11,('Elicitation of functions'!$I$11-'Elicitation of functions'!$I$9)/('Elicitation of functions'!$H$11-'Elicitation of functions'!$H$9)*(C29-'Elicitation of functions'!$H$9)+'Elicitation of functions'!$I$9,('Elicitation of functions'!$I$13-'Elicitation of functions'!$I$11)/('Elicitation of functions'!$H$13-'Elicitation of functions'!$H$11)*(C29-'Elicitation of functions'!$H$11)+'Elicitation of functions'!$I$11)))</f>
        <v>0.59999999999999964</v>
      </c>
      <c r="N29" s="89">
        <f>IF(D29&lt;'Elicitation of functions'!$H$20,('Elicitation of functions'!$I$20-'Elicitation of functions'!$I$22)/('Elicitation of functions'!$H$20-'Elicitation of functions'!$H$22)*(D29-'Elicitation of functions'!$H$22)+'Elicitation of functions'!$I$22,IF(D29&lt;'Elicitation of functions'!$H$19,('Elicitation of functions'!$I$19-'Elicitation of functions'!$I$20)/('Elicitation of functions'!$H$19-'Elicitation of functions'!$H$20)*(D29-'Elicitation of functions'!$H$20)+'Elicitation of functions'!$I$20,IF(D29&lt;'Elicitation of functions'!$H$21,('Elicitation of functions'!$I$21-'Elicitation of functions'!$I$19)/('Elicitation of functions'!$H$21-'Elicitation of functions'!$H$19)*(D29-'Elicitation of functions'!$H$19)+'Elicitation of functions'!$I$19,('Elicitation of functions'!$I$23-'Elicitation of functions'!$I$21)/('Elicitation of functions'!$H$23-'Elicitation of functions'!$H$21)*(D29-'Elicitation of functions'!$H$21)+'Elicitation of functions'!$I$21)))</f>
        <v>0.59375</v>
      </c>
      <c r="O29" s="89">
        <f>INDEX('Elicitation of functions'!$K$29:$K$33,MATCH(E29,'Elicitation of functions'!$F$29:$F$33,0))</f>
        <v>0.4</v>
      </c>
      <c r="P29" s="89">
        <f>INDEX('Elicitation of functions'!$K$39:$K$43,MATCH(F29,'Elicitation of functions'!$F$39:$F$43,0))</f>
        <v>0.3</v>
      </c>
      <c r="Q29" s="89">
        <f>INDEX('Elicitation of functions'!$K$49:$K$52,MATCH(G29,'Elicitation of functions'!$F$49:$F$52,0))</f>
        <v>0.75</v>
      </c>
      <c r="R29" s="89">
        <f>IF(H29&lt;'Elicitation of functions'!$H$60,('Elicitation of functions'!$I$60-'Elicitation of functions'!$I$62)/('Elicitation of functions'!$H$60-'Elicitation of functions'!$H$62)*(H29-'Elicitation of functions'!$H$62)+'Elicitation of functions'!$I$62,IF(H29&lt;'Elicitation of functions'!$H$59,('Elicitation of functions'!$I$59-'Elicitation of functions'!$I$60)/('Elicitation of functions'!$H$59-'Elicitation of functions'!$H$60)*(H29-'Elicitation of functions'!$H$60)+'Elicitation of functions'!$I$60,IF(H29&lt;'Elicitation of functions'!$H$61,('Elicitation of functions'!$I$61-'Elicitation of functions'!$I$59)/('Elicitation of functions'!$H$61-'Elicitation of functions'!$H$59)*(H29-'Elicitation of functions'!$H$59)+'Elicitation of functions'!$I$59,('Elicitation of functions'!$I$63-'Elicitation of functions'!$I$61)/('Elicitation of functions'!$H$63-'Elicitation of functions'!$H$61)*(H29-'Elicitation of functions'!$H$61)+'Elicitation of functions'!$I$61)))</f>
        <v>0.58333333333333337</v>
      </c>
      <c r="S29" s="89">
        <f>IF(I29&lt;'Elicitation of functions'!$H$70,('Elicitation of functions'!$I$70-'Elicitation of functions'!$I$72)/('Elicitation of functions'!$H$70-'Elicitation of functions'!$H$72)*(I29-'Elicitation of functions'!$H$72)+'Elicitation of functions'!$I$72,IF(I29&lt;'Elicitation of functions'!$H$69,('Elicitation of functions'!$I$69-'Elicitation of functions'!$I$70)/('Elicitation of functions'!$H$69-'Elicitation of functions'!$H$70)*(I29-'Elicitation of functions'!$H$70)+'Elicitation of functions'!$I$70,IF(I29&lt;'Elicitation of functions'!$H$71,('Elicitation of functions'!$I$71-'Elicitation of functions'!$I$69)/('Elicitation of functions'!$H$71-'Elicitation of functions'!$H$69)*(I29-'Elicitation of functions'!$H$69)+'Elicitation of functions'!$I$69,('Elicitation of functions'!$I$73-'Elicitation of functions'!$I$71)/('Elicitation of functions'!$H$73-'Elicitation of functions'!$H$71)*(I29-'Elicitation of functions'!$H$71)+'Elicitation of functions'!$I$71)))</f>
        <v>0.5</v>
      </c>
      <c r="T29" s="89">
        <f>INDEX('Elicitation of functions'!$K$79:$K$83,MATCH(J29,'Elicitation of functions'!$F$79:$F$83,0))</f>
        <v>0.35</v>
      </c>
      <c r="U29" s="77"/>
      <c r="V29" s="77">
        <v>0.3</v>
      </c>
      <c r="W29" s="77">
        <v>0.75</v>
      </c>
      <c r="X29" s="77">
        <v>0.58333299999999999</v>
      </c>
      <c r="Y29" s="77">
        <v>0.5</v>
      </c>
      <c r="Z29" s="77">
        <v>0.35</v>
      </c>
    </row>
    <row r="30" spans="1:26" ht="14.5">
      <c r="A30" s="77"/>
      <c r="B30" s="86" t="s">
        <v>82</v>
      </c>
      <c r="C30" s="87">
        <v>0.85</v>
      </c>
      <c r="D30" s="87">
        <v>0.78</v>
      </c>
      <c r="E30" s="88" t="s">
        <v>45</v>
      </c>
      <c r="F30" s="88">
        <v>1</v>
      </c>
      <c r="G30" s="88" t="s">
        <v>25</v>
      </c>
      <c r="H30" s="87">
        <v>0.85</v>
      </c>
      <c r="I30" s="87">
        <v>0.92</v>
      </c>
      <c r="J30" s="88">
        <v>5</v>
      </c>
      <c r="K30" s="77"/>
      <c r="L30" s="86" t="str">
        <f t="shared" si="2"/>
        <v>Nordic-Baltic Tech Alliance</v>
      </c>
      <c r="M30" s="89">
        <f>IF(C30&lt;'Elicitation of functions'!$H$10,('Elicitation of functions'!$I$10-'Elicitation of functions'!$I$12)/('Elicitation of functions'!$H$10-'Elicitation of functions'!$H$12)*(C30-'Elicitation of functions'!$H$12)+'Elicitation of functions'!$I$12,IF(C30&lt;'Elicitation of functions'!$H$9,('Elicitation of functions'!$I$9-'Elicitation of functions'!$I$10)/('Elicitation of functions'!$H$9-'Elicitation of functions'!$H$10)*(C30-'Elicitation of functions'!$H$10)+'Elicitation of functions'!$I$10,IF(C30&lt;'Elicitation of functions'!$H$11,('Elicitation of functions'!$I$11-'Elicitation of functions'!$I$9)/('Elicitation of functions'!$H$11-'Elicitation of functions'!$H$9)*(C30-'Elicitation of functions'!$H$9)+'Elicitation of functions'!$I$9,('Elicitation of functions'!$I$13-'Elicitation of functions'!$I$11)/('Elicitation of functions'!$H$13-'Elicitation of functions'!$H$11)*(C30-'Elicitation of functions'!$H$11)+'Elicitation of functions'!$I$11)))</f>
        <v>0.75</v>
      </c>
      <c r="N30" s="89">
        <f>IF(D30&lt;'Elicitation of functions'!$H$20,('Elicitation of functions'!$I$20-'Elicitation of functions'!$I$22)/('Elicitation of functions'!$H$20-'Elicitation of functions'!$H$22)*(D30-'Elicitation of functions'!$H$22)+'Elicitation of functions'!$I$22,IF(D30&lt;'Elicitation of functions'!$H$19,('Elicitation of functions'!$I$19-'Elicitation of functions'!$I$20)/('Elicitation of functions'!$H$19-'Elicitation of functions'!$H$20)*(D30-'Elicitation of functions'!$H$20)+'Elicitation of functions'!$I$20,IF(D30&lt;'Elicitation of functions'!$H$21,('Elicitation of functions'!$I$21-'Elicitation of functions'!$I$19)/('Elicitation of functions'!$H$21-'Elicitation of functions'!$H$19)*(D30-'Elicitation of functions'!$H$19)+'Elicitation of functions'!$I$19,('Elicitation of functions'!$I$23-'Elicitation of functions'!$I$21)/('Elicitation of functions'!$H$23-'Elicitation of functions'!$H$21)*(D30-'Elicitation of functions'!$H$21)+'Elicitation of functions'!$I$21)))</f>
        <v>0.6875</v>
      </c>
      <c r="O30" s="89">
        <f>INDEX('Elicitation of functions'!$K$29:$K$33,MATCH(E30,'Elicitation of functions'!$F$29:$F$33,0))</f>
        <v>0.7</v>
      </c>
      <c r="P30" s="89">
        <f>INDEX('Elicitation of functions'!$K$39:$K$43,MATCH(F30,'Elicitation of functions'!$F$39:$F$43,0))</f>
        <v>0.3</v>
      </c>
      <c r="Q30" s="89">
        <f>INDEX('Elicitation of functions'!$K$49:$K$52,MATCH(G30,'Elicitation of functions'!$F$49:$F$52,0))</f>
        <v>1</v>
      </c>
      <c r="R30" s="89">
        <f>IF(H30&lt;'Elicitation of functions'!$H$60,('Elicitation of functions'!$I$60-'Elicitation of functions'!$I$62)/('Elicitation of functions'!$H$60-'Elicitation of functions'!$H$62)*(H30-'Elicitation of functions'!$H$62)+'Elicitation of functions'!$I$62,IF(H30&lt;'Elicitation of functions'!$H$59,('Elicitation of functions'!$I$59-'Elicitation of functions'!$I$60)/('Elicitation of functions'!$H$59-'Elicitation of functions'!$H$60)*(H30-'Elicitation of functions'!$H$60)+'Elicitation of functions'!$I$60,IF(H30&lt;'Elicitation of functions'!$H$61,('Elicitation of functions'!$I$61-'Elicitation of functions'!$I$59)/('Elicitation of functions'!$H$61-'Elicitation of functions'!$H$59)*(H30-'Elicitation of functions'!$H$59)+'Elicitation of functions'!$I$59,('Elicitation of functions'!$I$63-'Elicitation of functions'!$I$61)/('Elicitation of functions'!$H$63-'Elicitation of functions'!$H$61)*(H30-'Elicitation of functions'!$H$61)+'Elicitation of functions'!$I$61)))</f>
        <v>0.91666666666666663</v>
      </c>
      <c r="S30" s="89">
        <f>IF(I30&lt;'Elicitation of functions'!$H$70,('Elicitation of functions'!$I$70-'Elicitation of functions'!$I$72)/('Elicitation of functions'!$H$70-'Elicitation of functions'!$H$72)*(I30-'Elicitation of functions'!$H$72)+'Elicitation of functions'!$I$72,IF(I30&lt;'Elicitation of functions'!$H$69,('Elicitation of functions'!$I$69-'Elicitation of functions'!$I$70)/('Elicitation of functions'!$H$69-'Elicitation of functions'!$H$70)*(I30-'Elicitation of functions'!$H$70)+'Elicitation of functions'!$I$70,IF(I30&lt;'Elicitation of functions'!$H$71,('Elicitation of functions'!$I$71-'Elicitation of functions'!$I$69)/('Elicitation of functions'!$H$71-'Elicitation of functions'!$H$69)*(I30-'Elicitation of functions'!$H$69)+'Elicitation of functions'!$I$69,('Elicitation of functions'!$I$73-'Elicitation of functions'!$I$71)/('Elicitation of functions'!$H$73-'Elicitation of functions'!$H$71)*(I30-'Elicitation of functions'!$H$71)+'Elicitation of functions'!$I$71)))</f>
        <v>0.8500000000000002</v>
      </c>
      <c r="T30" s="89">
        <f>INDEX('Elicitation of functions'!$K$79:$K$83,MATCH(J30,'Elicitation of functions'!$F$79:$F$83,0))</f>
        <v>1</v>
      </c>
      <c r="U30" s="77"/>
      <c r="V30" s="77">
        <v>0.3</v>
      </c>
      <c r="W30" s="77">
        <v>1</v>
      </c>
      <c r="X30" s="77">
        <v>0.91666700000000001</v>
      </c>
      <c r="Y30" s="77">
        <v>0.85</v>
      </c>
      <c r="Z30" s="77">
        <v>1</v>
      </c>
    </row>
    <row r="31" spans="1:26" ht="14.5">
      <c r="A31" s="77"/>
      <c r="B31" s="77"/>
      <c r="C31" s="77"/>
      <c r="D31" s="77"/>
      <c r="E31" s="77"/>
      <c r="F31" s="77"/>
      <c r="G31" s="77"/>
      <c r="H31" s="77"/>
      <c r="I31" s="77"/>
      <c r="J31" s="77"/>
      <c r="K31" s="77"/>
      <c r="L31" s="77"/>
      <c r="M31" s="77"/>
      <c r="N31" s="77"/>
      <c r="O31" s="77"/>
      <c r="P31" s="21"/>
      <c r="Q31" s="21"/>
      <c r="R31" s="77"/>
      <c r="S31" s="77"/>
      <c r="T31" s="77"/>
      <c r="U31" s="77"/>
      <c r="V31" s="77"/>
      <c r="W31" s="77"/>
      <c r="X31" s="77"/>
      <c r="Y31" s="77"/>
      <c r="Z31" s="77"/>
    </row>
    <row r="32" spans="1:26" ht="14.5">
      <c r="A32" s="77"/>
      <c r="B32" s="77"/>
      <c r="C32" s="77"/>
      <c r="D32" s="77"/>
      <c r="E32" s="77"/>
      <c r="F32" s="77"/>
      <c r="G32" s="77"/>
      <c r="H32" s="77"/>
      <c r="I32" s="77"/>
      <c r="J32" s="77"/>
      <c r="K32" s="77"/>
      <c r="L32" s="77"/>
      <c r="M32" s="77"/>
      <c r="N32" s="77"/>
      <c r="O32" s="77"/>
      <c r="P32" s="77"/>
      <c r="Q32" s="77"/>
      <c r="R32" s="77"/>
      <c r="S32" s="77"/>
      <c r="T32" s="77"/>
      <c r="U32" s="77"/>
      <c r="V32" s="77"/>
      <c r="W32" s="77"/>
      <c r="X32" s="77"/>
      <c r="Y32" s="77"/>
      <c r="Z32" s="77"/>
    </row>
    <row r="33" spans="1:26" ht="14.5">
      <c r="A33" s="77"/>
      <c r="B33" s="77"/>
      <c r="C33" s="77"/>
      <c r="D33" s="77"/>
      <c r="E33" s="77"/>
      <c r="F33" s="77"/>
      <c r="G33" s="77"/>
      <c r="H33" s="77"/>
      <c r="I33" s="77"/>
      <c r="J33" s="77"/>
      <c r="K33" s="77"/>
      <c r="L33" s="90"/>
      <c r="P33" s="21"/>
      <c r="Q33" s="77"/>
      <c r="R33" s="77"/>
      <c r="S33" s="77"/>
      <c r="T33" s="77"/>
      <c r="U33" s="77"/>
      <c r="V33" s="77"/>
      <c r="W33" s="77"/>
      <c r="X33" s="77"/>
      <c r="Y33" s="77"/>
      <c r="Z33" s="77"/>
    </row>
    <row r="34" spans="1:26" ht="14.5">
      <c r="A34" s="77"/>
      <c r="B34" s="77"/>
      <c r="C34" s="77"/>
      <c r="D34" s="77"/>
      <c r="E34" s="77"/>
      <c r="F34" s="77"/>
      <c r="G34" s="77"/>
      <c r="H34" s="77"/>
      <c r="I34" s="77"/>
      <c r="J34" s="77"/>
      <c r="K34" s="77"/>
      <c r="L34" s="36"/>
      <c r="M34" s="77"/>
      <c r="N34" s="77"/>
      <c r="O34" s="77"/>
      <c r="P34" s="91"/>
      <c r="Q34" s="24"/>
      <c r="R34" s="77"/>
      <c r="S34" s="77"/>
      <c r="T34" s="77"/>
      <c r="U34" s="77"/>
      <c r="V34" s="77"/>
      <c r="W34" s="77"/>
      <c r="X34" s="77"/>
      <c r="Y34" s="77"/>
      <c r="Z34" s="77"/>
    </row>
    <row r="35" spans="1:26" ht="14.5">
      <c r="A35" s="77"/>
      <c r="B35" s="77"/>
      <c r="C35" s="77"/>
      <c r="D35" s="77"/>
      <c r="E35" s="77"/>
      <c r="F35" s="77"/>
      <c r="G35" s="77"/>
      <c r="H35" s="77"/>
      <c r="I35" s="77"/>
      <c r="J35" s="77"/>
      <c r="K35" s="77"/>
      <c r="L35" s="92"/>
      <c r="M35" s="77"/>
      <c r="N35" s="77"/>
      <c r="O35" s="77"/>
      <c r="P35" s="77"/>
      <c r="Q35" s="93"/>
      <c r="R35" s="77"/>
      <c r="S35" s="77"/>
      <c r="T35" s="77"/>
      <c r="U35" s="77"/>
      <c r="V35" s="77"/>
      <c r="W35" s="77"/>
      <c r="X35" s="77"/>
      <c r="Y35" s="77"/>
      <c r="Z35" s="77"/>
    </row>
    <row r="36" spans="1:26" ht="14.5">
      <c r="A36" s="77"/>
      <c r="B36" s="77"/>
      <c r="C36" s="77"/>
      <c r="D36" s="77"/>
      <c r="E36" s="77"/>
      <c r="F36" s="77"/>
      <c r="G36" s="77"/>
      <c r="H36" s="77"/>
      <c r="I36" s="77"/>
      <c r="J36" s="77"/>
      <c r="K36" s="77"/>
      <c r="L36" s="36"/>
      <c r="M36" s="77"/>
      <c r="N36" s="77"/>
      <c r="O36" s="94"/>
      <c r="P36" s="94"/>
      <c r="Q36" s="37"/>
      <c r="R36" s="77"/>
      <c r="S36" s="77"/>
      <c r="T36" s="77"/>
      <c r="U36" s="77"/>
      <c r="V36" s="77"/>
      <c r="W36" s="77"/>
      <c r="X36" s="77"/>
      <c r="Y36" s="77"/>
      <c r="Z36" s="77"/>
    </row>
    <row r="37" spans="1:26" ht="14.5">
      <c r="A37" s="77"/>
      <c r="B37" s="77"/>
      <c r="C37" s="77"/>
      <c r="D37" s="77"/>
      <c r="E37" s="77"/>
      <c r="F37" s="77"/>
      <c r="G37" s="77"/>
      <c r="H37" s="77"/>
      <c r="I37" s="77"/>
      <c r="J37" s="77"/>
      <c r="K37" s="77"/>
      <c r="L37" s="36"/>
      <c r="M37" s="77"/>
      <c r="N37" s="77"/>
      <c r="O37" s="94"/>
      <c r="P37" s="94"/>
      <c r="Q37" s="37"/>
      <c r="R37" s="77"/>
      <c r="S37" s="77"/>
      <c r="T37" s="77"/>
      <c r="U37" s="77"/>
      <c r="V37" s="77"/>
      <c r="W37" s="77"/>
      <c r="X37" s="77"/>
      <c r="Y37" s="77"/>
      <c r="Z37" s="77"/>
    </row>
    <row r="38" spans="1:26" ht="14.5">
      <c r="A38" s="77"/>
      <c r="B38" s="77"/>
      <c r="C38" s="77"/>
      <c r="D38" s="77"/>
      <c r="E38" s="77"/>
      <c r="F38" s="77"/>
      <c r="G38" s="77"/>
      <c r="H38" s="77"/>
      <c r="I38" s="77"/>
      <c r="J38" s="77"/>
      <c r="K38" s="77"/>
      <c r="L38" s="36"/>
      <c r="M38" s="77"/>
      <c r="N38" s="77"/>
      <c r="O38" s="94"/>
      <c r="P38" s="94"/>
      <c r="Q38" s="37"/>
      <c r="R38" s="77"/>
      <c r="S38" s="77"/>
      <c r="T38" s="77"/>
      <c r="U38" s="77"/>
      <c r="V38" s="77"/>
      <c r="W38" s="77"/>
      <c r="X38" s="77"/>
      <c r="Y38" s="77"/>
      <c r="Z38" s="77"/>
    </row>
    <row r="39" spans="1:26" ht="14.5">
      <c r="A39" s="77"/>
      <c r="B39" s="77"/>
      <c r="C39" s="77"/>
      <c r="D39" s="77"/>
      <c r="E39" s="77"/>
      <c r="F39" s="77"/>
      <c r="G39" s="77"/>
      <c r="H39" s="77"/>
      <c r="I39" s="77"/>
      <c r="J39" s="77"/>
      <c r="K39" s="77"/>
      <c r="L39" s="33"/>
      <c r="M39" s="95"/>
      <c r="N39" s="95"/>
      <c r="O39" s="95"/>
      <c r="P39" s="95"/>
      <c r="Q39" s="96"/>
      <c r="R39" s="77"/>
      <c r="S39" s="77"/>
      <c r="T39" s="77"/>
      <c r="U39" s="77"/>
      <c r="V39" s="77"/>
      <c r="W39" s="77"/>
      <c r="X39" s="77"/>
      <c r="Y39" s="77"/>
      <c r="Z39" s="77"/>
    </row>
    <row r="40" spans="1:26" ht="14.5">
      <c r="A40" s="77"/>
      <c r="B40" s="77"/>
      <c r="C40" s="77"/>
      <c r="D40" s="77"/>
      <c r="E40" s="77"/>
      <c r="F40" s="77"/>
      <c r="G40" s="77"/>
      <c r="H40" s="77"/>
      <c r="I40" s="77"/>
      <c r="J40" s="77"/>
      <c r="K40" s="77"/>
      <c r="L40" s="77"/>
      <c r="M40" s="77"/>
      <c r="N40" s="77"/>
      <c r="O40" s="77"/>
      <c r="P40" s="21"/>
      <c r="Q40" s="21"/>
      <c r="R40" s="77"/>
      <c r="S40" s="77"/>
      <c r="T40" s="77"/>
      <c r="U40" s="77"/>
      <c r="V40" s="77"/>
      <c r="W40" s="77"/>
      <c r="X40" s="77"/>
      <c r="Y40" s="77"/>
      <c r="Z40" s="77"/>
    </row>
    <row r="41" spans="1:26" ht="14.5">
      <c r="A41" s="77"/>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ht="14.5">
      <c r="A42" s="77"/>
      <c r="B42" s="77"/>
      <c r="C42" s="77"/>
      <c r="D42" s="77"/>
      <c r="E42" s="77"/>
      <c r="F42" s="77"/>
      <c r="G42" s="77"/>
      <c r="H42" s="77"/>
      <c r="I42" s="77"/>
      <c r="J42" s="77"/>
      <c r="K42" s="77"/>
      <c r="L42" s="97"/>
      <c r="O42" s="21"/>
      <c r="P42" s="21"/>
      <c r="Q42" s="77"/>
      <c r="R42" s="77"/>
      <c r="S42" s="77"/>
      <c r="T42" s="77"/>
      <c r="U42" s="77"/>
      <c r="V42" s="77"/>
      <c r="W42" s="77"/>
      <c r="X42" s="77"/>
      <c r="Y42" s="77"/>
      <c r="Z42" s="77"/>
    </row>
    <row r="43" spans="1:26" ht="14.5">
      <c r="A43" s="77"/>
      <c r="B43" s="77"/>
      <c r="C43" s="77"/>
      <c r="D43" s="77"/>
      <c r="E43" s="77"/>
      <c r="F43" s="77"/>
      <c r="G43" s="77"/>
      <c r="H43" s="77"/>
      <c r="I43" s="77"/>
      <c r="J43" s="77"/>
      <c r="K43" s="77"/>
      <c r="L43" s="22"/>
      <c r="M43" s="91"/>
      <c r="N43" s="91"/>
      <c r="O43" s="91"/>
      <c r="P43" s="91"/>
      <c r="Q43" s="24"/>
      <c r="R43" s="77"/>
      <c r="S43" s="77"/>
      <c r="T43" s="77"/>
      <c r="U43" s="77"/>
      <c r="V43" s="77"/>
      <c r="W43" s="77"/>
      <c r="X43" s="77"/>
      <c r="Y43" s="77"/>
      <c r="Z43" s="77"/>
    </row>
    <row r="44" spans="1:26" ht="14.5">
      <c r="A44" s="77"/>
      <c r="B44" s="77"/>
      <c r="C44" s="77"/>
      <c r="D44" s="77"/>
      <c r="E44" s="77"/>
      <c r="F44" s="77"/>
      <c r="G44" s="77"/>
      <c r="H44" s="77"/>
      <c r="I44" s="77"/>
      <c r="J44" s="77"/>
      <c r="K44" s="77"/>
      <c r="L44" s="92"/>
      <c r="M44" s="77"/>
      <c r="N44" s="77"/>
      <c r="O44" s="77"/>
      <c r="P44" s="77"/>
      <c r="Q44" s="93"/>
      <c r="R44" s="77"/>
      <c r="S44" s="77"/>
      <c r="T44" s="77"/>
      <c r="U44" s="77"/>
      <c r="V44" s="77"/>
      <c r="W44" s="77"/>
      <c r="X44" s="77"/>
      <c r="Y44" s="77"/>
      <c r="Z44" s="77"/>
    </row>
    <row r="45" spans="1:26" ht="14.5">
      <c r="A45" s="77"/>
      <c r="B45" s="77"/>
      <c r="C45" s="77"/>
      <c r="D45" s="77"/>
      <c r="E45" s="77"/>
      <c r="F45" s="77"/>
      <c r="G45" s="77"/>
      <c r="H45" s="77"/>
      <c r="I45" s="77"/>
      <c r="J45" s="77"/>
      <c r="K45" s="77"/>
      <c r="L45" s="36"/>
      <c r="M45" s="92"/>
      <c r="N45" s="77"/>
      <c r="O45" s="94"/>
      <c r="P45" s="94"/>
      <c r="Q45" s="37"/>
      <c r="R45" s="77"/>
      <c r="S45" s="77"/>
      <c r="T45" s="77"/>
      <c r="U45" s="77"/>
      <c r="V45" s="77"/>
      <c r="W45" s="77"/>
      <c r="X45" s="77"/>
      <c r="Y45" s="77"/>
      <c r="Z45" s="77"/>
    </row>
    <row r="46" spans="1:26" ht="14.5">
      <c r="A46" s="77"/>
      <c r="B46" s="77"/>
      <c r="C46" s="77"/>
      <c r="D46" s="77"/>
      <c r="E46" s="77"/>
      <c r="F46" s="77"/>
      <c r="G46" s="77"/>
      <c r="H46" s="77"/>
      <c r="I46" s="77"/>
      <c r="J46" s="77"/>
      <c r="K46" s="77"/>
      <c r="L46" s="36"/>
      <c r="M46" s="92"/>
      <c r="N46" s="77"/>
      <c r="O46" s="94"/>
      <c r="P46" s="94"/>
      <c r="Q46" s="37"/>
      <c r="R46" s="77"/>
      <c r="S46" s="77"/>
      <c r="T46" s="77"/>
      <c r="U46" s="77"/>
      <c r="V46" s="77"/>
      <c r="W46" s="77"/>
      <c r="X46" s="77"/>
      <c r="Y46" s="77"/>
      <c r="Z46" s="77"/>
    </row>
    <row r="47" spans="1:26" ht="14.5">
      <c r="A47" s="77"/>
      <c r="B47" s="77"/>
      <c r="C47" s="77"/>
      <c r="D47" s="77"/>
      <c r="E47" s="77"/>
      <c r="F47" s="77"/>
      <c r="G47" s="77"/>
      <c r="H47" s="77"/>
      <c r="I47" s="77"/>
      <c r="J47" s="77"/>
      <c r="K47" s="77"/>
      <c r="L47" s="33"/>
      <c r="M47" s="95"/>
      <c r="N47" s="95"/>
      <c r="O47" s="95"/>
      <c r="P47" s="95"/>
      <c r="Q47" s="96"/>
      <c r="R47" s="77"/>
      <c r="S47" s="77"/>
      <c r="T47" s="77"/>
      <c r="U47" s="77"/>
      <c r="V47" s="77"/>
      <c r="W47" s="77"/>
      <c r="X47" s="77"/>
      <c r="Y47" s="77"/>
      <c r="Z47" s="77"/>
    </row>
    <row r="48" spans="1:26" ht="14.5">
      <c r="A48" s="77"/>
      <c r="B48" s="77"/>
      <c r="C48" s="77"/>
      <c r="D48" s="77"/>
      <c r="E48" s="77"/>
      <c r="F48" s="77"/>
      <c r="G48" s="77"/>
      <c r="H48" s="77"/>
      <c r="I48" s="77"/>
      <c r="J48" s="77"/>
      <c r="K48" s="77"/>
      <c r="L48" s="77"/>
      <c r="M48" s="77"/>
      <c r="N48" s="77"/>
      <c r="O48" s="77"/>
      <c r="P48" s="77"/>
      <c r="Q48" s="21"/>
      <c r="R48" s="77"/>
      <c r="S48" s="77"/>
      <c r="T48" s="77"/>
      <c r="U48" s="77"/>
      <c r="V48" s="77"/>
      <c r="W48" s="77"/>
      <c r="X48" s="77"/>
      <c r="Y48" s="77"/>
      <c r="Z48" s="77"/>
    </row>
    <row r="49" spans="1:26" ht="14.5">
      <c r="A49" s="77"/>
      <c r="B49" s="77"/>
      <c r="C49" s="77"/>
      <c r="D49" s="77"/>
      <c r="E49" s="77"/>
      <c r="F49" s="77"/>
      <c r="G49" s="77"/>
      <c r="H49" s="77"/>
      <c r="I49" s="77"/>
      <c r="J49" s="77"/>
      <c r="K49" s="77"/>
      <c r="L49" s="77"/>
      <c r="M49" s="77"/>
      <c r="N49" s="77"/>
      <c r="O49" s="77"/>
      <c r="P49" s="77"/>
      <c r="Q49" s="21"/>
      <c r="R49" s="77"/>
      <c r="S49" s="77"/>
      <c r="T49" s="77"/>
      <c r="U49" s="77"/>
      <c r="V49" s="77"/>
      <c r="W49" s="77"/>
      <c r="X49" s="77"/>
      <c r="Y49" s="77"/>
      <c r="Z49" s="77"/>
    </row>
    <row r="50" spans="1:26" ht="14.5">
      <c r="A50" s="77"/>
      <c r="B50" s="77"/>
      <c r="C50" s="77"/>
      <c r="D50" s="77"/>
      <c r="E50" s="77"/>
      <c r="F50" s="77"/>
      <c r="G50" s="77"/>
      <c r="H50" s="77"/>
      <c r="I50" s="77"/>
      <c r="J50" s="77"/>
      <c r="K50" s="77"/>
      <c r="L50" s="77"/>
      <c r="M50" s="77"/>
      <c r="N50" s="77"/>
      <c r="O50" s="77"/>
      <c r="P50" s="77"/>
      <c r="Q50" s="77"/>
      <c r="R50" s="77"/>
      <c r="S50" s="77"/>
      <c r="T50" s="77"/>
      <c r="U50" s="77"/>
      <c r="V50" s="77"/>
      <c r="W50" s="77"/>
      <c r="X50" s="77"/>
      <c r="Y50" s="77"/>
      <c r="Z50" s="77"/>
    </row>
    <row r="51" spans="1:26" ht="14.5">
      <c r="A51" s="77"/>
      <c r="B51" s="77"/>
      <c r="C51" s="77"/>
      <c r="D51" s="77"/>
      <c r="E51" s="77"/>
      <c r="F51" s="77"/>
      <c r="G51" s="77"/>
      <c r="H51" s="77"/>
      <c r="I51" s="77"/>
      <c r="J51" s="77"/>
      <c r="K51" s="77"/>
      <c r="L51" s="77"/>
      <c r="M51" s="77"/>
      <c r="N51" s="98"/>
      <c r="Q51" s="21"/>
      <c r="R51" s="77"/>
      <c r="S51" s="77"/>
      <c r="T51" s="77"/>
      <c r="U51" s="77"/>
      <c r="V51" s="77"/>
      <c r="W51" s="77"/>
      <c r="X51" s="77"/>
      <c r="Y51" s="77"/>
      <c r="Z51" s="77"/>
    </row>
    <row r="52" spans="1:26" ht="14.5">
      <c r="A52" s="77"/>
      <c r="B52" s="77"/>
      <c r="C52" s="77"/>
      <c r="D52" s="77"/>
      <c r="E52" s="77"/>
      <c r="F52" s="77"/>
      <c r="G52" s="77"/>
      <c r="H52" s="77"/>
      <c r="I52" s="77"/>
      <c r="J52" s="77"/>
      <c r="K52" s="77"/>
      <c r="L52" s="77"/>
      <c r="M52" s="77"/>
      <c r="N52" s="36"/>
      <c r="O52" s="21"/>
      <c r="P52" s="37"/>
      <c r="Q52" s="21"/>
      <c r="R52" s="77"/>
      <c r="S52" s="77"/>
      <c r="T52" s="77"/>
      <c r="U52" s="77"/>
      <c r="V52" s="77"/>
      <c r="W52" s="77"/>
      <c r="X52" s="77"/>
      <c r="Y52" s="77"/>
      <c r="Z52" s="77"/>
    </row>
    <row r="53" spans="1:26" ht="14.5">
      <c r="A53" s="77"/>
      <c r="B53" s="77"/>
      <c r="C53" s="77"/>
      <c r="D53" s="77"/>
      <c r="E53" s="77"/>
      <c r="F53" s="77"/>
      <c r="G53" s="77"/>
      <c r="H53" s="77"/>
      <c r="I53" s="77"/>
      <c r="J53" s="77"/>
      <c r="K53" s="77"/>
      <c r="L53" s="77"/>
      <c r="M53" s="77"/>
      <c r="N53" s="26"/>
      <c r="O53" s="27"/>
      <c r="P53" s="99"/>
      <c r="Q53" s="21"/>
      <c r="R53" s="77"/>
      <c r="S53" s="77"/>
      <c r="T53" s="77"/>
      <c r="U53" s="77"/>
      <c r="V53" s="77"/>
      <c r="W53" s="77"/>
      <c r="X53" s="77"/>
      <c r="Y53" s="77"/>
      <c r="Z53" s="77"/>
    </row>
    <row r="54" spans="1:26" ht="14.5">
      <c r="A54" s="77"/>
      <c r="B54" s="77"/>
      <c r="C54" s="77"/>
      <c r="D54" s="77"/>
      <c r="E54" s="77"/>
      <c r="F54" s="77"/>
      <c r="G54" s="77"/>
      <c r="H54" s="77"/>
      <c r="I54" s="77"/>
      <c r="J54" s="77"/>
      <c r="K54" s="77"/>
      <c r="L54" s="77"/>
      <c r="M54" s="77"/>
      <c r="N54" s="26"/>
      <c r="O54" s="27"/>
      <c r="P54" s="99"/>
      <c r="Q54" s="21"/>
      <c r="R54" s="77"/>
      <c r="S54" s="77"/>
      <c r="T54" s="77"/>
      <c r="U54" s="77"/>
      <c r="V54" s="77"/>
      <c r="W54" s="77"/>
      <c r="X54" s="77"/>
      <c r="Y54" s="77"/>
      <c r="Z54" s="77"/>
    </row>
    <row r="55" spans="1:26" ht="14.5">
      <c r="A55" s="77"/>
      <c r="B55" s="77"/>
      <c r="C55" s="77"/>
      <c r="D55" s="77"/>
      <c r="E55" s="77"/>
      <c r="F55" s="77"/>
      <c r="G55" s="77"/>
      <c r="H55" s="77"/>
      <c r="I55" s="77"/>
      <c r="J55" s="77"/>
      <c r="K55" s="77"/>
      <c r="L55" s="77"/>
      <c r="M55" s="77"/>
      <c r="N55" s="30"/>
      <c r="O55" s="27"/>
      <c r="P55" s="99"/>
      <c r="Q55" s="21"/>
      <c r="R55" s="77"/>
      <c r="S55" s="77"/>
      <c r="T55" s="77"/>
      <c r="U55" s="77"/>
      <c r="V55" s="77"/>
      <c r="W55" s="77"/>
      <c r="X55" s="77"/>
      <c r="Y55" s="77"/>
      <c r="Z55" s="77"/>
    </row>
    <row r="56" spans="1:26" ht="14.5">
      <c r="A56" s="77"/>
      <c r="B56" s="77"/>
      <c r="C56" s="77"/>
      <c r="D56" s="77"/>
      <c r="E56" s="77"/>
      <c r="F56" s="77"/>
      <c r="G56" s="77"/>
      <c r="H56" s="77"/>
      <c r="I56" s="77"/>
      <c r="J56" s="77"/>
      <c r="K56" s="77"/>
      <c r="L56" s="77"/>
      <c r="M56" s="77"/>
      <c r="N56" s="21"/>
      <c r="O56" s="31"/>
      <c r="P56" s="100"/>
      <c r="Q56" s="21"/>
      <c r="R56" s="77"/>
      <c r="S56" s="77"/>
      <c r="T56" s="77"/>
      <c r="U56" s="77"/>
      <c r="V56" s="77"/>
      <c r="W56" s="77"/>
      <c r="X56" s="77"/>
      <c r="Y56" s="77"/>
      <c r="Z56" s="77"/>
    </row>
    <row r="57" spans="1:26" ht="14.5">
      <c r="A57" s="77"/>
      <c r="B57" s="77"/>
      <c r="C57" s="77"/>
      <c r="D57" s="77"/>
      <c r="E57" s="77"/>
      <c r="F57" s="77"/>
      <c r="G57" s="77"/>
      <c r="H57" s="77"/>
      <c r="I57" s="77"/>
      <c r="J57" s="77"/>
      <c r="K57" s="77"/>
      <c r="L57" s="77"/>
      <c r="M57" s="77"/>
      <c r="N57" s="21"/>
      <c r="O57" s="33"/>
      <c r="P57" s="99"/>
      <c r="Q57" s="21"/>
      <c r="R57" s="77"/>
      <c r="S57" s="77"/>
      <c r="T57" s="77"/>
      <c r="U57" s="77"/>
      <c r="V57" s="77"/>
      <c r="W57" s="77"/>
      <c r="X57" s="77"/>
      <c r="Y57" s="77"/>
      <c r="Z57" s="77"/>
    </row>
    <row r="58" spans="1:26" ht="14.5">
      <c r="A58" s="77"/>
      <c r="B58" s="77"/>
      <c r="C58" s="77"/>
      <c r="D58" s="77"/>
      <c r="E58" s="77"/>
      <c r="F58" s="77"/>
      <c r="G58" s="77"/>
      <c r="H58" s="77"/>
      <c r="I58" s="77"/>
      <c r="J58" s="77"/>
      <c r="K58" s="77"/>
      <c r="L58" s="77"/>
      <c r="M58" s="77"/>
      <c r="N58" s="21"/>
      <c r="O58" s="21"/>
      <c r="P58" s="101"/>
      <c r="Q58" s="21"/>
      <c r="R58" s="77"/>
      <c r="S58" s="77"/>
      <c r="T58" s="77"/>
      <c r="U58" s="77"/>
      <c r="V58" s="77"/>
      <c r="W58" s="77"/>
      <c r="X58" s="77"/>
      <c r="Y58" s="77"/>
      <c r="Z58" s="77"/>
    </row>
    <row r="59" spans="1:26" ht="14.5">
      <c r="A59" s="77"/>
      <c r="B59" s="77"/>
      <c r="C59" s="77"/>
      <c r="D59" s="77"/>
      <c r="E59" s="77"/>
      <c r="F59" s="77"/>
      <c r="G59" s="77"/>
      <c r="H59" s="77"/>
      <c r="I59" s="77"/>
      <c r="J59" s="77"/>
      <c r="K59" s="77"/>
      <c r="L59" s="77"/>
      <c r="M59" s="77"/>
      <c r="N59" s="77"/>
      <c r="O59" s="77"/>
      <c r="P59" s="77"/>
      <c r="Q59" s="77"/>
      <c r="R59" s="77"/>
      <c r="S59" s="77"/>
      <c r="T59" s="77"/>
      <c r="U59" s="77"/>
      <c r="V59" s="77"/>
      <c r="W59" s="77"/>
      <c r="X59" s="77"/>
      <c r="Y59" s="77"/>
      <c r="Z59" s="77"/>
    </row>
    <row r="60" spans="1:26" ht="14.5">
      <c r="A60" s="77"/>
      <c r="B60" s="77"/>
      <c r="C60" s="77"/>
      <c r="D60" s="77"/>
      <c r="E60" s="77"/>
      <c r="F60" s="77"/>
      <c r="G60" s="77"/>
      <c r="H60" s="77"/>
      <c r="I60" s="77"/>
      <c r="J60" s="77"/>
      <c r="K60" s="77"/>
      <c r="L60" s="77"/>
      <c r="M60" s="77"/>
      <c r="N60" s="77"/>
      <c r="O60" s="77"/>
      <c r="P60" s="77"/>
      <c r="Q60" s="77"/>
      <c r="R60" s="77"/>
      <c r="S60" s="77"/>
      <c r="T60" s="77"/>
      <c r="U60" s="77"/>
      <c r="V60" s="77"/>
      <c r="W60" s="77"/>
      <c r="X60" s="77"/>
      <c r="Y60" s="77"/>
      <c r="Z60" s="77"/>
    </row>
    <row r="61" spans="1:26" ht="14.5">
      <c r="A61" s="77"/>
      <c r="B61" s="77"/>
      <c r="C61" s="77"/>
      <c r="D61" s="77"/>
      <c r="E61" s="77"/>
      <c r="F61" s="77"/>
      <c r="G61" s="77"/>
      <c r="H61" s="77"/>
      <c r="I61" s="77"/>
      <c r="J61" s="77"/>
      <c r="K61" s="77"/>
      <c r="L61" s="77"/>
      <c r="M61" s="77"/>
      <c r="N61" s="98"/>
      <c r="Q61" s="21"/>
      <c r="R61" s="77"/>
      <c r="S61" s="77"/>
      <c r="T61" s="77"/>
      <c r="U61" s="77"/>
      <c r="V61" s="77"/>
      <c r="W61" s="77"/>
      <c r="X61" s="77"/>
      <c r="Y61" s="77"/>
      <c r="Z61" s="77"/>
    </row>
    <row r="62" spans="1:26" ht="14.5">
      <c r="A62" s="77"/>
      <c r="B62" s="77"/>
      <c r="C62" s="77"/>
      <c r="D62" s="77"/>
      <c r="E62" s="77"/>
      <c r="F62" s="77"/>
      <c r="G62" s="77"/>
      <c r="H62" s="77"/>
      <c r="I62" s="77"/>
      <c r="J62" s="77"/>
      <c r="K62" s="77"/>
      <c r="L62" s="77"/>
      <c r="M62" s="77"/>
      <c r="N62" s="36"/>
      <c r="O62" s="21"/>
      <c r="P62" s="37"/>
      <c r="Q62" s="21"/>
      <c r="R62" s="77"/>
      <c r="S62" s="77"/>
      <c r="T62" s="77"/>
      <c r="U62" s="77"/>
      <c r="V62" s="77"/>
      <c r="W62" s="77"/>
      <c r="X62" s="77"/>
      <c r="Y62" s="77"/>
      <c r="Z62" s="77"/>
    </row>
    <row r="63" spans="1:26" ht="14.5">
      <c r="A63" s="77"/>
      <c r="B63" s="77"/>
      <c r="C63" s="77"/>
      <c r="D63" s="77"/>
      <c r="E63" s="77"/>
      <c r="F63" s="77"/>
      <c r="G63" s="77"/>
      <c r="H63" s="77"/>
      <c r="I63" s="77"/>
      <c r="J63" s="77"/>
      <c r="K63" s="77"/>
      <c r="L63" s="77"/>
      <c r="M63" s="77"/>
      <c r="N63" s="26"/>
      <c r="O63" s="27"/>
      <c r="P63" s="99"/>
      <c r="Q63" s="21"/>
      <c r="R63" s="77"/>
      <c r="S63" s="77"/>
      <c r="T63" s="77"/>
      <c r="U63" s="77"/>
      <c r="V63" s="77"/>
      <c r="W63" s="77"/>
      <c r="X63" s="77"/>
      <c r="Y63" s="77"/>
      <c r="Z63" s="77"/>
    </row>
    <row r="64" spans="1:26" ht="14.5">
      <c r="A64" s="77"/>
      <c r="B64" s="77"/>
      <c r="C64" s="77"/>
      <c r="D64" s="77"/>
      <c r="E64" s="77"/>
      <c r="F64" s="77"/>
      <c r="G64" s="77"/>
      <c r="H64" s="77"/>
      <c r="I64" s="77"/>
      <c r="J64" s="77"/>
      <c r="K64" s="77"/>
      <c r="L64" s="77"/>
      <c r="M64" s="77"/>
      <c r="N64" s="26"/>
      <c r="O64" s="27"/>
      <c r="P64" s="99"/>
      <c r="Q64" s="21"/>
      <c r="R64" s="77"/>
      <c r="S64" s="77"/>
      <c r="T64" s="77"/>
      <c r="U64" s="77"/>
      <c r="V64" s="77"/>
      <c r="W64" s="77"/>
      <c r="X64" s="77"/>
      <c r="Y64" s="77"/>
      <c r="Z64" s="77"/>
    </row>
    <row r="65" spans="1:26" ht="14.5">
      <c r="A65" s="77"/>
      <c r="B65" s="77"/>
      <c r="C65" s="77"/>
      <c r="D65" s="77"/>
      <c r="E65" s="77"/>
      <c r="F65" s="77"/>
      <c r="G65" s="77"/>
      <c r="H65" s="77"/>
      <c r="I65" s="77"/>
      <c r="J65" s="77"/>
      <c r="K65" s="77"/>
      <c r="L65" s="77"/>
      <c r="M65" s="77"/>
      <c r="N65" s="30"/>
      <c r="O65" s="27"/>
      <c r="P65" s="99"/>
      <c r="Q65" s="21"/>
      <c r="R65" s="77"/>
      <c r="S65" s="77"/>
      <c r="T65" s="77"/>
      <c r="U65" s="77"/>
      <c r="V65" s="77"/>
      <c r="W65" s="77"/>
      <c r="X65" s="77"/>
      <c r="Y65" s="77"/>
      <c r="Z65" s="77"/>
    </row>
    <row r="66" spans="1:26" ht="14.5">
      <c r="A66" s="77"/>
      <c r="B66" s="77"/>
      <c r="C66" s="77"/>
      <c r="D66" s="77"/>
      <c r="E66" s="77"/>
      <c r="F66" s="77"/>
      <c r="G66" s="77"/>
      <c r="H66" s="77"/>
      <c r="I66" s="77"/>
      <c r="J66" s="77"/>
      <c r="K66" s="77"/>
      <c r="L66" s="77"/>
      <c r="M66" s="77"/>
      <c r="N66" s="21"/>
      <c r="O66" s="31"/>
      <c r="P66" s="100"/>
      <c r="Q66" s="21"/>
      <c r="R66" s="77"/>
      <c r="S66" s="77"/>
      <c r="T66" s="77"/>
      <c r="U66" s="77"/>
      <c r="V66" s="77"/>
      <c r="W66" s="77"/>
      <c r="X66" s="77"/>
      <c r="Y66" s="77"/>
      <c r="Z66" s="77"/>
    </row>
    <row r="67" spans="1:26" ht="14.5">
      <c r="A67" s="77"/>
      <c r="B67" s="77"/>
      <c r="C67" s="77"/>
      <c r="D67" s="77"/>
      <c r="E67" s="77"/>
      <c r="F67" s="77"/>
      <c r="G67" s="77"/>
      <c r="H67" s="77"/>
      <c r="I67" s="77"/>
      <c r="J67" s="77"/>
      <c r="K67" s="77"/>
      <c r="L67" s="77"/>
      <c r="M67" s="77"/>
      <c r="N67" s="21"/>
      <c r="O67" s="33"/>
      <c r="P67" s="99"/>
      <c r="Q67" s="21"/>
      <c r="R67" s="77"/>
      <c r="S67" s="77"/>
      <c r="T67" s="77"/>
      <c r="U67" s="77"/>
      <c r="V67" s="77"/>
      <c r="W67" s="77"/>
      <c r="X67" s="77"/>
      <c r="Y67" s="77"/>
      <c r="Z67" s="77"/>
    </row>
    <row r="68" spans="1:26" ht="14.5">
      <c r="A68" s="77"/>
      <c r="B68" s="77"/>
      <c r="C68" s="77"/>
      <c r="D68" s="77"/>
      <c r="E68" s="77"/>
      <c r="F68" s="77"/>
      <c r="G68" s="77"/>
      <c r="H68" s="77"/>
      <c r="I68" s="77"/>
      <c r="J68" s="77"/>
      <c r="K68" s="77"/>
      <c r="L68" s="77"/>
      <c r="M68" s="77"/>
      <c r="N68" s="21"/>
      <c r="O68" s="21"/>
      <c r="P68" s="101"/>
      <c r="Q68" s="21"/>
      <c r="R68" s="77"/>
      <c r="S68" s="77"/>
      <c r="T68" s="77"/>
      <c r="U68" s="77"/>
      <c r="V68" s="77"/>
      <c r="W68" s="77"/>
      <c r="X68" s="77"/>
      <c r="Y68" s="77"/>
      <c r="Z68" s="77"/>
    </row>
    <row r="69" spans="1:26" ht="14.5">
      <c r="A69" s="77"/>
      <c r="B69" s="77"/>
      <c r="C69" s="77"/>
      <c r="D69" s="77"/>
      <c r="E69" s="77"/>
      <c r="F69" s="77"/>
      <c r="G69" s="77"/>
      <c r="H69" s="77"/>
      <c r="I69" s="77"/>
      <c r="J69" s="77"/>
      <c r="K69" s="77"/>
      <c r="L69" s="77"/>
      <c r="M69" s="77"/>
      <c r="N69" s="77"/>
      <c r="O69" s="77"/>
      <c r="P69" s="77"/>
      <c r="Q69" s="77"/>
      <c r="R69" s="77"/>
      <c r="S69" s="77"/>
      <c r="T69" s="77"/>
      <c r="U69" s="77"/>
      <c r="V69" s="77"/>
      <c r="W69" s="77"/>
      <c r="X69" s="77"/>
      <c r="Y69" s="77"/>
      <c r="Z69" s="77"/>
    </row>
    <row r="70" spans="1:26" ht="14.5">
      <c r="A70" s="77"/>
      <c r="B70" s="77"/>
      <c r="C70" s="77"/>
      <c r="D70" s="77"/>
      <c r="E70" s="77"/>
      <c r="F70" s="77"/>
      <c r="G70" s="77"/>
      <c r="H70" s="77"/>
      <c r="I70" s="77"/>
      <c r="J70" s="77"/>
      <c r="K70" s="77"/>
      <c r="L70" s="77"/>
      <c r="M70" s="77"/>
      <c r="N70" s="77"/>
      <c r="O70" s="77"/>
      <c r="P70" s="77"/>
      <c r="Q70" s="77"/>
      <c r="R70" s="77"/>
      <c r="S70" s="77"/>
      <c r="T70" s="77"/>
      <c r="U70" s="77"/>
      <c r="V70" s="77"/>
      <c r="W70" s="77"/>
      <c r="X70" s="77"/>
      <c r="Y70" s="77"/>
      <c r="Z70" s="77"/>
    </row>
    <row r="71" spans="1:26" ht="14.5">
      <c r="A71" s="77"/>
      <c r="B71" s="77"/>
      <c r="C71" s="77"/>
      <c r="D71" s="77"/>
      <c r="E71" s="77"/>
      <c r="F71" s="77"/>
      <c r="G71" s="77"/>
      <c r="H71" s="77"/>
      <c r="I71" s="77"/>
      <c r="J71" s="77"/>
      <c r="K71" s="77"/>
      <c r="L71" s="97"/>
      <c r="O71" s="21"/>
      <c r="P71" s="21"/>
      <c r="Q71" s="77"/>
      <c r="R71" s="77"/>
      <c r="S71" s="77"/>
      <c r="T71" s="77"/>
      <c r="U71" s="77"/>
      <c r="V71" s="77"/>
      <c r="W71" s="77"/>
      <c r="X71" s="77"/>
      <c r="Y71" s="77"/>
      <c r="Z71" s="77"/>
    </row>
    <row r="72" spans="1:26" ht="14.5">
      <c r="A72" s="77"/>
      <c r="B72" s="77"/>
      <c r="C72" s="77"/>
      <c r="D72" s="77"/>
      <c r="E72" s="77"/>
      <c r="F72" s="77"/>
      <c r="G72" s="77"/>
      <c r="H72" s="77"/>
      <c r="I72" s="77"/>
      <c r="J72" s="77"/>
      <c r="K72" s="77"/>
      <c r="L72" s="22"/>
      <c r="M72" s="91"/>
      <c r="N72" s="91"/>
      <c r="O72" s="91"/>
      <c r="P72" s="91"/>
      <c r="Q72" s="24"/>
      <c r="R72" s="77"/>
      <c r="S72" s="77"/>
      <c r="T72" s="77"/>
      <c r="U72" s="77"/>
      <c r="V72" s="77"/>
      <c r="W72" s="77"/>
      <c r="X72" s="77"/>
      <c r="Y72" s="77"/>
      <c r="Z72" s="77"/>
    </row>
    <row r="73" spans="1:26" ht="14.5">
      <c r="A73" s="77"/>
      <c r="B73" s="77"/>
      <c r="C73" s="77"/>
      <c r="D73" s="77"/>
      <c r="E73" s="77"/>
      <c r="F73" s="77"/>
      <c r="G73" s="77"/>
      <c r="H73" s="77"/>
      <c r="I73" s="77"/>
      <c r="J73" s="77"/>
      <c r="K73" s="77"/>
      <c r="L73" s="92"/>
      <c r="M73" s="77"/>
      <c r="N73" s="77"/>
      <c r="O73" s="77"/>
      <c r="P73" s="77"/>
      <c r="Q73" s="93"/>
      <c r="R73" s="77"/>
      <c r="S73" s="77"/>
      <c r="T73" s="77"/>
      <c r="U73" s="77"/>
      <c r="V73" s="77"/>
      <c r="W73" s="77"/>
      <c r="X73" s="77"/>
      <c r="Y73" s="77"/>
      <c r="Z73" s="77"/>
    </row>
    <row r="74" spans="1:26" ht="14.5">
      <c r="A74" s="77"/>
      <c r="B74" s="77"/>
      <c r="C74" s="77"/>
      <c r="D74" s="77"/>
      <c r="E74" s="77"/>
      <c r="F74" s="77"/>
      <c r="G74" s="77"/>
      <c r="H74" s="77"/>
      <c r="I74" s="77"/>
      <c r="J74" s="77"/>
      <c r="K74" s="77"/>
      <c r="L74" s="36"/>
      <c r="M74" s="77"/>
      <c r="N74" s="77"/>
      <c r="O74" s="94"/>
      <c r="P74" s="94"/>
      <c r="Q74" s="37"/>
      <c r="R74" s="77"/>
      <c r="S74" s="77"/>
      <c r="T74" s="77"/>
      <c r="U74" s="77"/>
      <c r="V74" s="77"/>
      <c r="W74" s="77"/>
      <c r="X74" s="77"/>
      <c r="Y74" s="77"/>
      <c r="Z74" s="77"/>
    </row>
    <row r="75" spans="1:26" ht="14.5">
      <c r="A75" s="77"/>
      <c r="B75" s="77"/>
      <c r="C75" s="77"/>
      <c r="D75" s="77"/>
      <c r="E75" s="77"/>
      <c r="F75" s="77"/>
      <c r="G75" s="77"/>
      <c r="H75" s="77"/>
      <c r="I75" s="77"/>
      <c r="J75" s="77"/>
      <c r="K75" s="77"/>
      <c r="L75" s="36"/>
      <c r="M75" s="77"/>
      <c r="N75" s="77"/>
      <c r="O75" s="94"/>
      <c r="P75" s="94"/>
      <c r="Q75" s="37"/>
      <c r="R75" s="77"/>
      <c r="S75" s="77"/>
      <c r="T75" s="77"/>
      <c r="U75" s="77"/>
      <c r="V75" s="77"/>
      <c r="W75" s="77"/>
      <c r="X75" s="77"/>
      <c r="Y75" s="77"/>
      <c r="Z75" s="77"/>
    </row>
    <row r="76" spans="1:26" ht="14.5">
      <c r="A76" s="77"/>
      <c r="B76" s="77"/>
      <c r="C76" s="77"/>
      <c r="D76" s="77"/>
      <c r="E76" s="77"/>
      <c r="F76" s="77"/>
      <c r="G76" s="77"/>
      <c r="H76" s="77"/>
      <c r="I76" s="77"/>
      <c r="J76" s="77"/>
      <c r="K76" s="77"/>
      <c r="L76" s="36"/>
      <c r="M76" s="77"/>
      <c r="N76" s="77"/>
      <c r="O76" s="94"/>
      <c r="P76" s="94"/>
      <c r="Q76" s="37"/>
      <c r="R76" s="77"/>
      <c r="S76" s="77"/>
      <c r="T76" s="77"/>
      <c r="U76" s="77"/>
      <c r="V76" s="77"/>
      <c r="W76" s="77"/>
      <c r="X76" s="77"/>
      <c r="Y76" s="77"/>
      <c r="Z76" s="77"/>
    </row>
    <row r="77" spans="1:26" ht="14.5">
      <c r="A77" s="77"/>
      <c r="B77" s="77"/>
      <c r="C77" s="77"/>
      <c r="D77" s="77"/>
      <c r="E77" s="77"/>
      <c r="F77" s="77"/>
      <c r="G77" s="77"/>
      <c r="H77" s="77"/>
      <c r="I77" s="77"/>
      <c r="J77" s="77"/>
      <c r="K77" s="77"/>
      <c r="L77" s="33"/>
      <c r="M77" s="95"/>
      <c r="N77" s="95"/>
      <c r="O77" s="95"/>
      <c r="P77" s="95"/>
      <c r="Q77" s="96"/>
      <c r="R77" s="77"/>
      <c r="S77" s="77"/>
      <c r="T77" s="77"/>
      <c r="U77" s="77"/>
      <c r="V77" s="77"/>
      <c r="W77" s="77"/>
      <c r="X77" s="77"/>
      <c r="Y77" s="77"/>
      <c r="Z77" s="77"/>
    </row>
    <row r="78" spans="1:26" ht="14.5">
      <c r="A78" s="77"/>
      <c r="B78" s="77"/>
      <c r="C78" s="77"/>
      <c r="D78" s="77"/>
      <c r="E78" s="77"/>
      <c r="F78" s="77"/>
      <c r="G78" s="77"/>
      <c r="H78" s="77"/>
      <c r="I78" s="77"/>
      <c r="J78" s="77"/>
      <c r="K78" s="77"/>
      <c r="L78" s="77"/>
      <c r="M78" s="77"/>
      <c r="N78" s="77"/>
      <c r="O78" s="77"/>
      <c r="P78" s="21"/>
      <c r="Q78" s="21"/>
      <c r="R78" s="77"/>
      <c r="S78" s="77"/>
      <c r="T78" s="77"/>
      <c r="U78" s="77"/>
      <c r="V78" s="77"/>
      <c r="W78" s="77"/>
      <c r="X78" s="77"/>
      <c r="Y78" s="77"/>
      <c r="Z78" s="77"/>
    </row>
  </sheetData>
  <mergeCells count="6">
    <mergeCell ref="B4:J4"/>
    <mergeCell ref="L4:T4"/>
    <mergeCell ref="B13:J13"/>
    <mergeCell ref="L13:T13"/>
    <mergeCell ref="B22:J22"/>
    <mergeCell ref="L22:T22"/>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45"/>
  <sheetViews>
    <sheetView zoomScaleNormal="100" workbookViewId="0">
      <selection activeCell="AF4" sqref="AF4"/>
    </sheetView>
  </sheetViews>
  <sheetFormatPr defaultColWidth="8.81640625" defaultRowHeight="14.25" customHeight="1"/>
  <cols>
    <col min="1" max="1" width="42.453125" customWidth="1"/>
    <col min="2" max="2" width="18.26953125" customWidth="1"/>
    <col min="6" max="6" width="42.08984375" customWidth="1"/>
    <col min="9" max="9" width="11.81640625" customWidth="1"/>
    <col min="29" max="29" width="36.453125" customWidth="1"/>
    <col min="39" max="39" width="9.1796875" customWidth="1"/>
  </cols>
  <sheetData>
    <row r="1" spans="1:36" ht="15" customHeight="1"/>
    <row r="2" spans="1:36" ht="31.25" customHeight="1">
      <c r="F2" s="6" t="s">
        <v>87</v>
      </c>
      <c r="G2" s="6"/>
      <c r="H2" s="6"/>
      <c r="I2" s="6"/>
      <c r="J2" s="6"/>
      <c r="K2" s="6"/>
      <c r="L2" s="6"/>
      <c r="M2" s="6"/>
      <c r="N2" s="5" t="s">
        <v>88</v>
      </c>
      <c r="O2" s="5"/>
      <c r="P2" s="5"/>
      <c r="Q2" s="5"/>
      <c r="R2" s="5"/>
      <c r="S2" s="5"/>
      <c r="T2" s="5"/>
      <c r="U2" s="5"/>
      <c r="V2" s="4" t="s">
        <v>89</v>
      </c>
      <c r="W2" s="4"/>
      <c r="X2" s="4"/>
      <c r="Y2" s="4"/>
      <c r="Z2" s="4"/>
      <c r="AA2" s="4"/>
      <c r="AB2" s="4"/>
      <c r="AC2" s="4"/>
      <c r="AF2" s="3" t="s">
        <v>90</v>
      </c>
      <c r="AG2" s="3"/>
      <c r="AH2" s="3"/>
    </row>
    <row r="3" spans="1:36" ht="14.5">
      <c r="F3" s="102" t="s">
        <v>70</v>
      </c>
      <c r="G3" s="102" t="s">
        <v>71</v>
      </c>
      <c r="H3" s="102" t="s">
        <v>15</v>
      </c>
      <c r="I3" s="102" t="s">
        <v>72</v>
      </c>
      <c r="J3" s="102" t="s">
        <v>23</v>
      </c>
      <c r="K3" s="102" t="s">
        <v>73</v>
      </c>
      <c r="L3" s="102" t="s">
        <v>74</v>
      </c>
      <c r="M3" s="102" t="s">
        <v>75</v>
      </c>
      <c r="N3" s="102" t="s">
        <v>70</v>
      </c>
      <c r="O3" s="102" t="s">
        <v>71</v>
      </c>
      <c r="P3" s="102" t="s">
        <v>15</v>
      </c>
      <c r="Q3" s="102" t="s">
        <v>72</v>
      </c>
      <c r="R3" s="102" t="s">
        <v>23</v>
      </c>
      <c r="S3" s="102" t="s">
        <v>73</v>
      </c>
      <c r="T3" s="102" t="s">
        <v>74</v>
      </c>
      <c r="U3" s="102" t="s">
        <v>75</v>
      </c>
      <c r="V3" s="102" t="s">
        <v>70</v>
      </c>
      <c r="W3" s="102" t="s">
        <v>71</v>
      </c>
      <c r="X3" s="102" t="s">
        <v>15</v>
      </c>
      <c r="Y3" s="102" t="s">
        <v>72</v>
      </c>
      <c r="Z3" s="102" t="s">
        <v>23</v>
      </c>
      <c r="AA3" s="102" t="s">
        <v>73</v>
      </c>
      <c r="AB3" s="102" t="s">
        <v>74</v>
      </c>
      <c r="AC3" s="102" t="s">
        <v>75</v>
      </c>
      <c r="AF3" s="103" t="s">
        <v>91</v>
      </c>
      <c r="AG3" s="103" t="s">
        <v>92</v>
      </c>
      <c r="AH3" s="103" t="s">
        <v>93</v>
      </c>
    </row>
    <row r="4" spans="1:36" ht="14.5">
      <c r="F4" s="104">
        <f>'Action Performance by Scenario'!M6</f>
        <v>0.59999999999999964</v>
      </c>
      <c r="G4" s="104">
        <f>'Action Performance by Scenario'!N6</f>
        <v>0.6875</v>
      </c>
      <c r="H4" s="104">
        <f>'Action Performance by Scenario'!O6</f>
        <v>0.7</v>
      </c>
      <c r="I4" s="104">
        <f>'Action Performance by Scenario'!P6</f>
        <v>0.8</v>
      </c>
      <c r="J4" s="104">
        <f>'Action Performance by Scenario'!Q6</f>
        <v>0.5</v>
      </c>
      <c r="K4" s="104">
        <f>'Action Performance by Scenario'!R6</f>
        <v>0.41666666666666674</v>
      </c>
      <c r="L4" s="104">
        <f>'Action Performance by Scenario'!S6</f>
        <v>0.5</v>
      </c>
      <c r="M4" s="104">
        <f>'Action Performance by Scenario'!T6</f>
        <v>0.35</v>
      </c>
      <c r="N4" s="104">
        <f>'Action Performance by Scenario'!M15</f>
        <v>0.82500000000000007</v>
      </c>
      <c r="O4" s="104">
        <f>'Action Performance by Scenario'!N15</f>
        <v>0.87499999999999989</v>
      </c>
      <c r="P4" s="104">
        <f>'Action Performance by Scenario'!O15</f>
        <v>0.4</v>
      </c>
      <c r="Q4" s="104">
        <f>'Action Performance by Scenario'!P15</f>
        <v>1</v>
      </c>
      <c r="R4" s="104">
        <f>'Action Performance by Scenario'!Q15</f>
        <v>0</v>
      </c>
      <c r="S4" s="104">
        <f>'Action Performance by Scenario'!R15</f>
        <v>0.33333333333333331</v>
      </c>
      <c r="T4" s="104">
        <f>'Action Performance by Scenario'!S15</f>
        <v>0.59375</v>
      </c>
      <c r="U4" s="104">
        <f>'Action Performance by Scenario'!T15</f>
        <v>0.35</v>
      </c>
      <c r="V4" s="104">
        <f>'Action Performance by Scenario'!M24</f>
        <v>0.5</v>
      </c>
      <c r="W4" s="104">
        <f>'Action Performance by Scenario'!N24</f>
        <v>0.59375</v>
      </c>
      <c r="X4" s="104">
        <f>'Action Performance by Scenario'!O24</f>
        <v>0</v>
      </c>
      <c r="Y4" s="104">
        <f>'Action Performance by Scenario'!P24</f>
        <v>0.5</v>
      </c>
      <c r="Z4" s="104">
        <f>'Action Performance by Scenario'!Q24</f>
        <v>0</v>
      </c>
      <c r="AA4" s="104">
        <f>'Action Performance by Scenario'!R24</f>
        <v>0.5</v>
      </c>
      <c r="AB4" s="104">
        <f>'Action Performance by Scenario'!S24</f>
        <v>0.45454545454545475</v>
      </c>
      <c r="AC4" s="104">
        <f>'Action Performance by Scenario'!T24</f>
        <v>0.2</v>
      </c>
      <c r="AF4">
        <f t="array" ref="AF4">SUMPRODUCT(F4:M4, TRANSPOSE($B$14:$B$21))</f>
        <v>0.55299045138888903</v>
      </c>
      <c r="AG4">
        <f t="array" ref="AG4">SUMPRODUCT(G4:N4, TRANSPOSE($B$14:$B$21))</f>
        <v>0.58820126488095248</v>
      </c>
      <c r="AH4">
        <f t="array" ref="AH4">SUMPRODUCT(H4:O4, TRANSPOSE($B$14:$B$21))</f>
        <v>0.73684523809523839</v>
      </c>
      <c r="AJ4">
        <f t="array" ref="AJ4">SUMPRODUCT(AF4:AH4, TRANSPOSE($B$24:$B$26))</f>
        <v>0.62557894483024712</v>
      </c>
    </row>
    <row r="5" spans="1:36" ht="14.5">
      <c r="F5" s="104">
        <f>'Action Performance by Scenario'!M7</f>
        <v>0.75</v>
      </c>
      <c r="G5" s="104">
        <f>'Action Performance by Scenario'!N7</f>
        <v>0.59375</v>
      </c>
      <c r="H5" s="104">
        <f>'Action Performance by Scenario'!O7</f>
        <v>1</v>
      </c>
      <c r="I5" s="104">
        <f>'Action Performance by Scenario'!P7</f>
        <v>0.3</v>
      </c>
      <c r="J5" s="104">
        <f>'Action Performance by Scenario'!Q7</f>
        <v>0.75</v>
      </c>
      <c r="K5" s="104">
        <f>'Action Performance by Scenario'!R7</f>
        <v>0.5</v>
      </c>
      <c r="L5" s="104">
        <f>'Action Performance by Scenario'!S7</f>
        <v>0.75</v>
      </c>
      <c r="M5" s="104">
        <f>'Action Performance by Scenario'!T7</f>
        <v>0.7</v>
      </c>
      <c r="N5" s="104">
        <f>'Action Performance by Scenario'!M16</f>
        <v>0.59999999999999964</v>
      </c>
      <c r="O5" s="104">
        <f>'Action Performance by Scenario'!N16</f>
        <v>0.75</v>
      </c>
      <c r="P5" s="104">
        <f>'Action Performance by Scenario'!O16</f>
        <v>1</v>
      </c>
      <c r="Q5" s="104">
        <f>'Action Performance by Scenario'!P16</f>
        <v>0.3</v>
      </c>
      <c r="R5" s="104">
        <f>'Action Performance by Scenario'!Q16</f>
        <v>0.75</v>
      </c>
      <c r="S5" s="104">
        <f>'Action Performance by Scenario'!R16</f>
        <v>0.41666666666666674</v>
      </c>
      <c r="T5" s="104">
        <f>'Action Performance by Scenario'!S16</f>
        <v>1</v>
      </c>
      <c r="U5" s="104">
        <f>'Action Performance by Scenario'!T16</f>
        <v>0.7</v>
      </c>
      <c r="V5" s="104">
        <f>'Action Performance by Scenario'!M25</f>
        <v>0.5</v>
      </c>
      <c r="W5" s="104">
        <f>'Action Performance by Scenario'!N25</f>
        <v>0.5</v>
      </c>
      <c r="X5" s="104">
        <f>'Action Performance by Scenario'!O25</f>
        <v>0.7</v>
      </c>
      <c r="Y5" s="104">
        <f>'Action Performance by Scenario'!P25</f>
        <v>0</v>
      </c>
      <c r="Z5" s="104">
        <f>'Action Performance by Scenario'!Q25</f>
        <v>0.75</v>
      </c>
      <c r="AA5" s="104">
        <f>'Action Performance by Scenario'!R25</f>
        <v>0.54166666666666663</v>
      </c>
      <c r="AB5" s="104">
        <f>'Action Performance by Scenario'!S25</f>
        <v>0.6875</v>
      </c>
      <c r="AC5" s="104">
        <f>'Action Performance by Scenario'!T25</f>
        <v>0.35</v>
      </c>
      <c r="AF5">
        <f t="array" ref="AF5">SUMPRODUCT(F5:M5, TRANSPOSE($B$14:$B$21))</f>
        <v>0.70783203125000016</v>
      </c>
      <c r="AG5">
        <f t="array" ref="AG5">SUMPRODUCT(G5:N5, TRANSPOSE($B$14:$B$21))</f>
        <v>0.69780784970238119</v>
      </c>
      <c r="AH5">
        <f t="array" ref="AH5">SUMPRODUCT(H5:O5, TRANSPOSE($B$14:$B$21))</f>
        <v>0.61115327380952378</v>
      </c>
      <c r="AJ5">
        <f t="array" ref="AJ5">SUMPRODUCT(AF5:AH5, TRANSPOSE($B$24:$B$26))</f>
        <v>0.67485093212632297</v>
      </c>
    </row>
    <row r="6" spans="1:36" ht="14.5">
      <c r="F6" s="104">
        <f>'Action Performance by Scenario'!M8</f>
        <v>0.34375</v>
      </c>
      <c r="G6" s="104">
        <f>'Action Performance by Scenario'!N8</f>
        <v>0.25</v>
      </c>
      <c r="H6" s="104">
        <f>'Action Performance by Scenario'!O8</f>
        <v>0.2</v>
      </c>
      <c r="I6" s="104">
        <f>'Action Performance by Scenario'!P8</f>
        <v>0.5</v>
      </c>
      <c r="J6" s="104">
        <f>'Action Performance by Scenario'!Q8</f>
        <v>1</v>
      </c>
      <c r="K6" s="104">
        <f>'Action Performance by Scenario'!R8</f>
        <v>0.625</v>
      </c>
      <c r="L6" s="104">
        <f>'Action Performance by Scenario'!S8</f>
        <v>0.45454545454545475</v>
      </c>
      <c r="M6" s="104">
        <f>'Action Performance by Scenario'!T8</f>
        <v>0.35</v>
      </c>
      <c r="N6" s="104">
        <f>'Action Performance by Scenario'!M17</f>
        <v>0.4375</v>
      </c>
      <c r="O6" s="104">
        <f>'Action Performance by Scenario'!N17</f>
        <v>0.35714285714285732</v>
      </c>
      <c r="P6" s="104">
        <f>'Action Performance by Scenario'!O17</f>
        <v>0.2</v>
      </c>
      <c r="Q6" s="104">
        <f>'Action Performance by Scenario'!P17</f>
        <v>0.5</v>
      </c>
      <c r="R6" s="104">
        <f>'Action Performance by Scenario'!Q17</f>
        <v>1</v>
      </c>
      <c r="S6" s="104">
        <f>'Action Performance by Scenario'!R17</f>
        <v>0.58333333333333337</v>
      </c>
      <c r="T6" s="104">
        <f>'Action Performance by Scenario'!S17</f>
        <v>0.5</v>
      </c>
      <c r="U6" s="104">
        <f>'Action Performance by Scenario'!T17</f>
        <v>0.7</v>
      </c>
      <c r="V6" s="104">
        <f>'Action Performance by Scenario'!M26</f>
        <v>0.34375</v>
      </c>
      <c r="W6" s="104">
        <f>'Action Performance by Scenario'!N26</f>
        <v>0.25</v>
      </c>
      <c r="X6" s="104">
        <f>'Action Performance by Scenario'!O26</f>
        <v>0.4</v>
      </c>
      <c r="Y6" s="104">
        <f>'Action Performance by Scenario'!P26</f>
        <v>0.3</v>
      </c>
      <c r="Z6" s="104">
        <f>'Action Performance by Scenario'!Q26</f>
        <v>1</v>
      </c>
      <c r="AA6" s="104">
        <f>'Action Performance by Scenario'!R26</f>
        <v>0.75</v>
      </c>
      <c r="AB6" s="104">
        <f>'Action Performance by Scenario'!S26</f>
        <v>0.40909090909090928</v>
      </c>
      <c r="AC6" s="104">
        <f>'Action Performance by Scenario'!T26</f>
        <v>0.7</v>
      </c>
      <c r="AF6">
        <f t="array" ref="AF6">SUMPRODUCT(F6:M6, TRANSPOSE($B$14:$B$21))</f>
        <v>0.37707902123917769</v>
      </c>
      <c r="AG6">
        <f t="array" ref="AG6">SUMPRODUCT(G6:N6, TRANSPOSE($B$14:$B$21))</f>
        <v>0.37150246888528149</v>
      </c>
      <c r="AH6">
        <f t="array" ref="AH6">SUMPRODUCT(H6:O6, TRANSPOSE($B$14:$B$21))</f>
        <v>0.4838351064857761</v>
      </c>
      <c r="AJ6">
        <f t="array" ref="AJ6">SUMPRODUCT(AF6:AH6, TRANSPOSE($B$24:$B$26))</f>
        <v>0.40332559625807407</v>
      </c>
    </row>
    <row r="7" spans="1:36" ht="14.5">
      <c r="F7" s="104">
        <f>'Action Performance by Scenario'!M9</f>
        <v>0.5</v>
      </c>
      <c r="G7" s="104">
        <f>'Action Performance by Scenario'!N9</f>
        <v>0.5</v>
      </c>
      <c r="H7" s="104">
        <f>'Action Performance by Scenario'!O9</f>
        <v>0.4</v>
      </c>
      <c r="I7" s="104">
        <f>'Action Performance by Scenario'!P9</f>
        <v>0.5</v>
      </c>
      <c r="J7" s="104">
        <f>'Action Performance by Scenario'!Q9</f>
        <v>0.75</v>
      </c>
      <c r="K7" s="104">
        <f>'Action Performance by Scenario'!R9</f>
        <v>0.83333333333333337</v>
      </c>
      <c r="L7" s="104">
        <f>'Action Performance by Scenario'!S9</f>
        <v>0.5</v>
      </c>
      <c r="M7" s="104">
        <f>'Action Performance by Scenario'!T9</f>
        <v>0.2</v>
      </c>
      <c r="N7" s="104">
        <f>'Action Performance by Scenario'!M18</f>
        <v>0.59999999999999964</v>
      </c>
      <c r="O7" s="104">
        <f>'Action Performance by Scenario'!N18</f>
        <v>0.59375</v>
      </c>
      <c r="P7" s="104">
        <f>'Action Performance by Scenario'!O18</f>
        <v>0.2</v>
      </c>
      <c r="Q7" s="104">
        <f>'Action Performance by Scenario'!P18</f>
        <v>0.8</v>
      </c>
      <c r="R7" s="104">
        <f>'Action Performance by Scenario'!Q18</f>
        <v>0.75</v>
      </c>
      <c r="S7" s="104">
        <f>'Action Performance by Scenario'!R18</f>
        <v>0.91666666666666663</v>
      </c>
      <c r="T7" s="104">
        <f>'Action Performance by Scenario'!S18</f>
        <v>0.59375</v>
      </c>
      <c r="U7" s="104">
        <f>'Action Performance by Scenario'!T18</f>
        <v>0.2</v>
      </c>
      <c r="V7" s="104">
        <f>'Action Performance by Scenario'!M27</f>
        <v>0.4375</v>
      </c>
      <c r="W7" s="104">
        <f>'Action Performance by Scenario'!N27</f>
        <v>0.42857142857142849</v>
      </c>
      <c r="X7" s="104">
        <f>'Action Performance by Scenario'!O27</f>
        <v>0.4</v>
      </c>
      <c r="Y7" s="104">
        <f>'Action Performance by Scenario'!P27</f>
        <v>0.3</v>
      </c>
      <c r="Z7" s="104">
        <f>'Action Performance by Scenario'!Q27</f>
        <v>1</v>
      </c>
      <c r="AA7" s="104">
        <f>'Action Performance by Scenario'!R27</f>
        <v>1</v>
      </c>
      <c r="AB7" s="104">
        <f>'Action Performance by Scenario'!S27</f>
        <v>0.45454545454545475</v>
      </c>
      <c r="AC7" s="104">
        <f>'Action Performance by Scenario'!T27</f>
        <v>0.35</v>
      </c>
      <c r="AF7">
        <f t="array" ref="AF7">SUMPRODUCT(F7:M7, TRANSPOSE($B$14:$B$21))</f>
        <v>0.46528521825396835</v>
      </c>
      <c r="AG7">
        <f t="array" ref="AG7">SUMPRODUCT(G7:N7, TRANSPOSE($B$14:$B$21))</f>
        <v>0.40540922619047626</v>
      </c>
      <c r="AH7">
        <f t="array" ref="AH7">SUMPRODUCT(H7:O7, TRANSPOSE($B$14:$B$21))</f>
        <v>0.56282087053571428</v>
      </c>
      <c r="AJ7">
        <f t="array" ref="AJ7">SUMPRODUCT(AF7:AH7, TRANSPOSE($B$24:$B$26))</f>
        <v>0.45578757096009714</v>
      </c>
    </row>
    <row r="8" spans="1:36" ht="14.5">
      <c r="F8" s="104">
        <f>'Action Performance by Scenario'!M10</f>
        <v>0.5</v>
      </c>
      <c r="G8" s="104">
        <f>'Action Performance by Scenario'!N10</f>
        <v>0.59375</v>
      </c>
      <c r="H8" s="104">
        <f>'Action Performance by Scenario'!O10</f>
        <v>0.7</v>
      </c>
      <c r="I8" s="104">
        <f>'Action Performance by Scenario'!P10</f>
        <v>1</v>
      </c>
      <c r="J8" s="104">
        <f>'Action Performance by Scenario'!Q10</f>
        <v>0.5</v>
      </c>
      <c r="K8" s="104">
        <f>'Action Performance by Scenario'!R10</f>
        <v>0.54166666666666663</v>
      </c>
      <c r="L8" s="104">
        <f>'Action Performance by Scenario'!S10</f>
        <v>0.6875</v>
      </c>
      <c r="M8" s="104">
        <f>'Action Performance by Scenario'!T10</f>
        <v>0.7</v>
      </c>
      <c r="N8" s="104">
        <f>'Action Performance by Scenario'!M19</f>
        <v>0.75</v>
      </c>
      <c r="O8" s="104">
        <f>'Action Performance by Scenario'!N19</f>
        <v>0.79999999999999982</v>
      </c>
      <c r="P8" s="104">
        <f>'Action Performance by Scenario'!O19</f>
        <v>0.7</v>
      </c>
      <c r="Q8" s="104">
        <f>'Action Performance by Scenario'!P19</f>
        <v>1</v>
      </c>
      <c r="R8" s="104">
        <f>'Action Performance by Scenario'!Q19</f>
        <v>0.5</v>
      </c>
      <c r="S8" s="104">
        <f>'Action Performance by Scenario'!R19</f>
        <v>0.5</v>
      </c>
      <c r="T8" s="104">
        <f>'Action Performance by Scenario'!S19</f>
        <v>0.8500000000000002</v>
      </c>
      <c r="U8" s="104">
        <f>'Action Performance by Scenario'!T19</f>
        <v>0.7</v>
      </c>
      <c r="V8" s="104">
        <f>'Action Performance by Scenario'!M28</f>
        <v>0.34375</v>
      </c>
      <c r="W8" s="104">
        <f>'Action Performance by Scenario'!N28</f>
        <v>0.42857142857142849</v>
      </c>
      <c r="X8" s="104">
        <f>'Action Performance by Scenario'!O28</f>
        <v>0.2</v>
      </c>
      <c r="Y8" s="104">
        <f>'Action Performance by Scenario'!P28</f>
        <v>0.5</v>
      </c>
      <c r="Z8" s="104">
        <f>'Action Performance by Scenario'!Q28</f>
        <v>0.5</v>
      </c>
      <c r="AA8" s="104">
        <f>'Action Performance by Scenario'!R28</f>
        <v>0.58333333333333337</v>
      </c>
      <c r="AB8" s="104">
        <f>'Action Performance by Scenario'!S28</f>
        <v>0.59375</v>
      </c>
      <c r="AC8" s="104">
        <f>'Action Performance by Scenario'!T28</f>
        <v>0.2</v>
      </c>
      <c r="AF8">
        <f t="array" ref="AF8">SUMPRODUCT(F8:M8, TRANSPOSE($B$14:$B$21))</f>
        <v>0.65539465525793672</v>
      </c>
      <c r="AG8">
        <f t="array" ref="AG8">SUMPRODUCT(G8:N8, TRANSPOSE($B$14:$B$21))</f>
        <v>0.72250465029761923</v>
      </c>
      <c r="AH8">
        <f t="array" ref="AH8">SUMPRODUCT(H8:O8, TRANSPOSE($B$14:$B$21))</f>
        <v>0.7690197172619051</v>
      </c>
      <c r="AJ8">
        <f t="array" ref="AJ8">SUMPRODUCT(AF8:AH8, TRANSPOSE($B$24:$B$26))</f>
        <v>0.72796883611662278</v>
      </c>
    </row>
    <row r="9" spans="1:36" ht="14.5">
      <c r="F9" s="104">
        <f>'Action Performance by Scenario'!M11</f>
        <v>0.75</v>
      </c>
      <c r="G9" s="104">
        <f>'Action Performance by Scenario'!N11</f>
        <v>0.6875</v>
      </c>
      <c r="H9" s="104">
        <f>'Action Performance by Scenario'!O11</f>
        <v>0.7</v>
      </c>
      <c r="I9" s="104">
        <f>'Action Performance by Scenario'!P11</f>
        <v>0.5</v>
      </c>
      <c r="J9" s="104">
        <f>'Action Performance by Scenario'!Q11</f>
        <v>0.75</v>
      </c>
      <c r="K9" s="104">
        <f>'Action Performance by Scenario'!R11</f>
        <v>0.54166666666666663</v>
      </c>
      <c r="L9" s="104">
        <f>'Action Performance by Scenario'!S11</f>
        <v>0.5625</v>
      </c>
      <c r="M9" s="104">
        <f>'Action Performance by Scenario'!T11</f>
        <v>0.35</v>
      </c>
      <c r="N9" s="104">
        <f>'Action Performance by Scenario'!M20</f>
        <v>0.82500000000000007</v>
      </c>
      <c r="O9" s="104">
        <f>'Action Performance by Scenario'!N20</f>
        <v>0.75</v>
      </c>
      <c r="P9" s="104">
        <f>'Action Performance by Scenario'!O20</f>
        <v>0.7</v>
      </c>
      <c r="Q9" s="104">
        <f>'Action Performance by Scenario'!P20</f>
        <v>0.8</v>
      </c>
      <c r="R9" s="104">
        <f>'Action Performance by Scenario'!Q20</f>
        <v>0.75</v>
      </c>
      <c r="S9" s="104">
        <f>'Action Performance by Scenario'!R20</f>
        <v>0.5</v>
      </c>
      <c r="T9" s="104">
        <f>'Action Performance by Scenario'!S20</f>
        <v>0.59375</v>
      </c>
      <c r="U9" s="104">
        <f>'Action Performance by Scenario'!T20</f>
        <v>0.35</v>
      </c>
      <c r="V9" s="104">
        <f>'Action Performance by Scenario'!M29</f>
        <v>0.59999999999999964</v>
      </c>
      <c r="W9" s="104">
        <f>'Action Performance by Scenario'!N29</f>
        <v>0.59375</v>
      </c>
      <c r="X9" s="104">
        <f>'Action Performance by Scenario'!O29</f>
        <v>0.4</v>
      </c>
      <c r="Y9" s="104">
        <f>'Action Performance by Scenario'!P29</f>
        <v>0.3</v>
      </c>
      <c r="Z9" s="104">
        <f>'Action Performance by Scenario'!Q29</f>
        <v>0.75</v>
      </c>
      <c r="AA9" s="104">
        <f>'Action Performance by Scenario'!R29</f>
        <v>0.58333333333333337</v>
      </c>
      <c r="AB9" s="104">
        <f>'Action Performance by Scenario'!S29</f>
        <v>0.5</v>
      </c>
      <c r="AC9" s="104">
        <f>'Action Performance by Scenario'!T29</f>
        <v>0.35</v>
      </c>
      <c r="AF9">
        <f t="array" ref="AF9">SUMPRODUCT(F9:M9, TRANSPOSE($B$14:$B$21))</f>
        <v>0.58677207341269855</v>
      </c>
      <c r="AG9">
        <f t="array" ref="AG9">SUMPRODUCT(G9:N9, TRANSPOSE($B$14:$B$21))</f>
        <v>0.5687500000000002</v>
      </c>
      <c r="AH9">
        <f t="array" ref="AH9">SUMPRODUCT(H9:O9, TRANSPOSE($B$14:$B$21))</f>
        <v>0.68619977678571442</v>
      </c>
      <c r="AJ9">
        <f t="array" ref="AJ9">SUMPRODUCT(AF9:AH9, TRANSPOSE($B$24:$B$26))</f>
        <v>0.60337739059744289</v>
      </c>
    </row>
    <row r="10" spans="1:36" ht="14.5">
      <c r="F10" s="104">
        <f>'Action Performance by Scenario'!M12</f>
        <v>0.59999999999999964</v>
      </c>
      <c r="G10" s="104">
        <f>'Action Performance by Scenario'!N12</f>
        <v>0.59375</v>
      </c>
      <c r="H10" s="104">
        <f>'Action Performance by Scenario'!O12</f>
        <v>0.4</v>
      </c>
      <c r="I10" s="104">
        <f>'Action Performance by Scenario'!P12</f>
        <v>0.3</v>
      </c>
      <c r="J10" s="104">
        <f>'Action Performance by Scenario'!Q12</f>
        <v>0.75</v>
      </c>
      <c r="K10" s="104">
        <f>'Action Performance by Scenario'!R12</f>
        <v>0.66666666666666674</v>
      </c>
      <c r="L10" s="104">
        <f>'Action Performance by Scenario'!S12</f>
        <v>0.625</v>
      </c>
      <c r="M10" s="104">
        <f>'Action Performance by Scenario'!T12</f>
        <v>0.7</v>
      </c>
      <c r="N10" s="104">
        <f>'Action Performance by Scenario'!M21</f>
        <v>0.5</v>
      </c>
      <c r="O10" s="104">
        <f>'Action Performance by Scenario'!N21</f>
        <v>0.5</v>
      </c>
      <c r="P10" s="104">
        <f>'Action Performance by Scenario'!O21</f>
        <v>0.4</v>
      </c>
      <c r="Q10" s="104">
        <f>'Action Performance by Scenario'!P21</f>
        <v>0.5</v>
      </c>
      <c r="R10" s="104">
        <f>'Action Performance by Scenario'!Q21</f>
        <v>0.75</v>
      </c>
      <c r="S10" s="104">
        <f>'Action Performance by Scenario'!R21</f>
        <v>0.58333333333333337</v>
      </c>
      <c r="T10" s="104">
        <f>'Action Performance by Scenario'!S21</f>
        <v>0.6875</v>
      </c>
      <c r="U10" s="104">
        <f>'Action Performance by Scenario'!T21</f>
        <v>0.35</v>
      </c>
      <c r="V10" s="104">
        <f>'Action Performance by Scenario'!M30</f>
        <v>0.75</v>
      </c>
      <c r="W10" s="104">
        <f>'Action Performance by Scenario'!N30</f>
        <v>0.6875</v>
      </c>
      <c r="X10" s="104">
        <f>'Action Performance by Scenario'!O30</f>
        <v>0.7</v>
      </c>
      <c r="Y10" s="104">
        <f>'Action Performance by Scenario'!P30</f>
        <v>0.3</v>
      </c>
      <c r="Z10" s="104">
        <f>'Action Performance by Scenario'!Q30</f>
        <v>1</v>
      </c>
      <c r="AA10" s="104">
        <f>'Action Performance by Scenario'!R30</f>
        <v>0.91666666666666663</v>
      </c>
      <c r="AB10" s="104">
        <f>'Action Performance by Scenario'!S30</f>
        <v>0.8500000000000002</v>
      </c>
      <c r="AC10" s="104">
        <f>'Action Performance by Scenario'!T30</f>
        <v>1</v>
      </c>
      <c r="AF10">
        <f t="array" ref="AF10">SUMPRODUCT(F10:M10, TRANSPOSE($B$14:$B$21))</f>
        <v>0.59618148561507955</v>
      </c>
      <c r="AG10">
        <f t="array" ref="AG10">SUMPRODUCT(G10:N10, TRANSPOSE($B$14:$B$21))</f>
        <v>0.5495600818452383</v>
      </c>
      <c r="AH10">
        <f t="array" ref="AH10">SUMPRODUCT(H10:O10, TRANSPOSE($B$14:$B$21))</f>
        <v>0.49515997023809533</v>
      </c>
      <c r="AJ10">
        <f t="array" ref="AJ10">SUMPRODUCT(AF10:AH10, TRANSPOSE($B$24:$B$26))</f>
        <v>0.53962909570656992</v>
      </c>
    </row>
    <row r="13" spans="1:36" ht="14.5">
      <c r="A13" s="105" t="s">
        <v>94</v>
      </c>
    </row>
    <row r="14" spans="1:36" ht="14.5">
      <c r="A14" s="106" t="s">
        <v>10</v>
      </c>
      <c r="B14" s="107">
        <v>7.93154761904762E-2</v>
      </c>
    </row>
    <row r="15" spans="1:36" ht="14.5">
      <c r="A15" s="106" t="s">
        <v>13</v>
      </c>
      <c r="B15" s="107">
        <v>0.21473214285714301</v>
      </c>
    </row>
    <row r="16" spans="1:36" ht="14.5">
      <c r="A16" s="106" t="s">
        <v>15</v>
      </c>
      <c r="B16" s="107">
        <v>0.11056547619047601</v>
      </c>
    </row>
    <row r="17" spans="1:6" ht="14.5">
      <c r="A17" s="106" t="s">
        <v>20</v>
      </c>
      <c r="B17" s="107">
        <v>3.3482142857142898E-2</v>
      </c>
    </row>
    <row r="18" spans="1:6" ht="14.5">
      <c r="A18" s="106" t="s">
        <v>23</v>
      </c>
      <c r="B18" s="107">
        <v>1.5625E-2</v>
      </c>
    </row>
    <row r="19" spans="1:6" ht="14.5">
      <c r="A19" s="106" t="s">
        <v>27</v>
      </c>
      <c r="B19" s="107">
        <v>5.4315476190476199E-2</v>
      </c>
    </row>
    <row r="20" spans="1:6" ht="14.5">
      <c r="A20" s="106" t="s">
        <v>29</v>
      </c>
      <c r="B20" s="107">
        <v>0.33973214285714298</v>
      </c>
    </row>
    <row r="21" spans="1:6" ht="14.5">
      <c r="A21" s="106" t="s">
        <v>35</v>
      </c>
      <c r="B21" s="107">
        <v>0.15223214285714301</v>
      </c>
    </row>
    <row r="23" spans="1:6" ht="14.5">
      <c r="A23" s="108" t="s">
        <v>95</v>
      </c>
      <c r="B23" s="107"/>
    </row>
    <row r="24" spans="1:6" ht="14.5">
      <c r="A24" s="109" t="s">
        <v>87</v>
      </c>
      <c r="B24" s="14">
        <v>0.11111111111111099</v>
      </c>
    </row>
    <row r="25" spans="1:6" ht="14.5">
      <c r="A25" s="109" t="s">
        <v>88</v>
      </c>
      <c r="B25" s="14">
        <v>0.61111111111111105</v>
      </c>
    </row>
    <row r="26" spans="1:6" ht="14.5">
      <c r="A26" s="107" t="s">
        <v>89</v>
      </c>
      <c r="B26" s="14">
        <v>0.27777777777777801</v>
      </c>
    </row>
    <row r="28" spans="1:6" ht="14.5">
      <c r="A28" s="110" t="s">
        <v>96</v>
      </c>
      <c r="B28" s="107" t="s">
        <v>97</v>
      </c>
      <c r="C28" s="107" t="s">
        <v>98</v>
      </c>
      <c r="D28" s="107" t="s">
        <v>99</v>
      </c>
      <c r="E28" s="107" t="s">
        <v>100</v>
      </c>
      <c r="F28" s="107" t="s">
        <v>101</v>
      </c>
    </row>
    <row r="29" spans="1:6" ht="14.5">
      <c r="A29" s="111" t="s">
        <v>76</v>
      </c>
      <c r="B29" s="112">
        <v>0</v>
      </c>
      <c r="C29" s="107">
        <v>1.2</v>
      </c>
      <c r="D29" s="107">
        <v>1.5</v>
      </c>
      <c r="E29" s="107">
        <v>2</v>
      </c>
      <c r="F29" s="107" t="s">
        <v>102</v>
      </c>
    </row>
    <row r="30" spans="1:6" ht="14.5">
      <c r="A30" s="111" t="s">
        <v>77</v>
      </c>
      <c r="B30" s="112">
        <v>1</v>
      </c>
      <c r="C30" s="107">
        <v>1</v>
      </c>
      <c r="D30" s="107">
        <v>1</v>
      </c>
      <c r="E30" s="107">
        <v>1</v>
      </c>
      <c r="F30" s="107" t="s">
        <v>103</v>
      </c>
    </row>
    <row r="31" spans="1:6" ht="14.25" customHeight="1">
      <c r="A31" s="111" t="s">
        <v>78</v>
      </c>
      <c r="B31" s="112">
        <v>0</v>
      </c>
      <c r="C31" s="107">
        <v>0.5</v>
      </c>
      <c r="D31" s="107">
        <v>0.8</v>
      </c>
      <c r="E31" s="107">
        <v>1</v>
      </c>
      <c r="F31" s="107" t="s">
        <v>104</v>
      </c>
    </row>
    <row r="32" spans="1:6" ht="14.5">
      <c r="A32" s="111" t="s">
        <v>79</v>
      </c>
      <c r="B32" s="112">
        <v>1</v>
      </c>
      <c r="C32" s="107">
        <v>2</v>
      </c>
      <c r="D32" s="107">
        <v>2</v>
      </c>
      <c r="E32" s="107">
        <v>2</v>
      </c>
      <c r="F32" s="107" t="s">
        <v>105</v>
      </c>
    </row>
    <row r="33" spans="1:6" ht="14.5">
      <c r="A33" s="111" t="s">
        <v>80</v>
      </c>
      <c r="B33" s="112">
        <v>1</v>
      </c>
      <c r="C33" s="107">
        <v>1.1000000000000001</v>
      </c>
      <c r="D33" s="107">
        <v>1.2</v>
      </c>
      <c r="E33" s="107">
        <v>1</v>
      </c>
      <c r="F33" s="107" t="s">
        <v>106</v>
      </c>
    </row>
    <row r="34" spans="1:6" ht="14.5">
      <c r="A34" s="111" t="s">
        <v>81</v>
      </c>
      <c r="B34" s="112">
        <v>1</v>
      </c>
      <c r="C34" s="107">
        <v>0.8</v>
      </c>
      <c r="D34" s="107">
        <v>1</v>
      </c>
      <c r="E34" s="107">
        <v>2</v>
      </c>
      <c r="F34" s="107" t="s">
        <v>107</v>
      </c>
    </row>
    <row r="35" spans="1:6" ht="14.5">
      <c r="A35" s="111" t="s">
        <v>82</v>
      </c>
      <c r="B35" s="112">
        <v>0</v>
      </c>
      <c r="C35" s="107">
        <v>1.4</v>
      </c>
      <c r="D35" s="107">
        <v>1.5</v>
      </c>
      <c r="E35" s="107">
        <v>1</v>
      </c>
      <c r="F35" s="107" t="s">
        <v>108</v>
      </c>
    </row>
    <row r="36" spans="1:6" ht="14.5">
      <c r="A36" s="113" t="s">
        <v>109</v>
      </c>
      <c r="B36" s="112">
        <f>SUMPRODUCT(AJ4:AJ10,B29:B35)</f>
        <v>2.461984729800486</v>
      </c>
      <c r="C36" s="107"/>
      <c r="D36" s="107"/>
      <c r="E36" s="107"/>
      <c r="F36" s="107"/>
    </row>
    <row r="37" spans="1:6" ht="14.5">
      <c r="B37" s="77"/>
    </row>
    <row r="38" spans="1:6" ht="14.5">
      <c r="B38" s="77"/>
    </row>
    <row r="39" spans="1:6" ht="14.5">
      <c r="A39" s="114" t="s">
        <v>110</v>
      </c>
      <c r="B39" s="114" t="s">
        <v>111</v>
      </c>
      <c r="C39" s="114"/>
      <c r="D39" s="114" t="s">
        <v>112</v>
      </c>
    </row>
    <row r="40" spans="1:6" ht="14.5">
      <c r="A40" s="107" t="s">
        <v>113</v>
      </c>
      <c r="B40" s="107">
        <f>SUMPRODUCT(C29:C35,B29:B35)</f>
        <v>4.8999999999999995</v>
      </c>
      <c r="C40" s="107" t="s">
        <v>114</v>
      </c>
      <c r="D40" s="107">
        <v>5</v>
      </c>
    </row>
    <row r="41" spans="1:6" ht="14.5">
      <c r="A41" s="107" t="s">
        <v>115</v>
      </c>
      <c r="B41" s="107">
        <f>SUMPRODUCT(E29:E35,B29:B35)</f>
        <v>6</v>
      </c>
      <c r="C41" s="107" t="s">
        <v>114</v>
      </c>
      <c r="D41" s="107">
        <v>6</v>
      </c>
    </row>
    <row r="42" spans="1:6" ht="14.5">
      <c r="A42" s="107" t="s">
        <v>116</v>
      </c>
      <c r="B42" s="107">
        <f>SUM(B29:B35)</f>
        <v>4</v>
      </c>
      <c r="C42" s="107" t="s">
        <v>114</v>
      </c>
      <c r="D42" s="107">
        <v>4</v>
      </c>
    </row>
    <row r="43" spans="1:6" ht="14.5">
      <c r="A43" s="107" t="s">
        <v>117</v>
      </c>
      <c r="B43" s="107">
        <f>B33-B32</f>
        <v>0</v>
      </c>
      <c r="C43" s="107" t="s">
        <v>114</v>
      </c>
      <c r="D43" s="107">
        <v>0</v>
      </c>
    </row>
    <row r="44" spans="1:6" ht="14.5">
      <c r="A44" s="107" t="s">
        <v>118</v>
      </c>
      <c r="B44" s="107">
        <f>B30+B33+B35</f>
        <v>2</v>
      </c>
      <c r="C44" s="112" t="s">
        <v>119</v>
      </c>
      <c r="D44" s="107">
        <v>1</v>
      </c>
    </row>
    <row r="45" spans="1:6" ht="14.5">
      <c r="A45" s="107" t="s">
        <v>120</v>
      </c>
      <c r="B45" s="107">
        <f>SUMPRODUCT(B29:B35,D29:D35)</f>
        <v>5.2</v>
      </c>
      <c r="C45" s="107" t="s">
        <v>114</v>
      </c>
      <c r="D45" s="107">
        <v>10</v>
      </c>
    </row>
  </sheetData>
  <mergeCells count="4">
    <mergeCell ref="F2:M2"/>
    <mergeCell ref="N2:U2"/>
    <mergeCell ref="V2:AC2"/>
    <mergeCell ref="AF2:AH2"/>
  </mergeCell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19"/>
  <sheetViews>
    <sheetView topLeftCell="A4" zoomScaleNormal="100" workbookViewId="0">
      <selection activeCell="E19" sqref="E19"/>
    </sheetView>
  </sheetViews>
  <sheetFormatPr defaultColWidth="8.6328125" defaultRowHeight="14.25" customHeight="1"/>
  <cols>
    <col min="1" max="1" width="24" customWidth="1"/>
    <col min="2" max="4" width="10" customWidth="1"/>
    <col min="5" max="5" width="11" customWidth="1"/>
    <col min="6" max="6" width="9" customWidth="1"/>
    <col min="7" max="7" width="11" customWidth="1"/>
    <col min="8" max="8" width="10" customWidth="1"/>
    <col min="9" max="9" width="12" customWidth="1"/>
    <col min="10" max="10" width="44" customWidth="1"/>
    <col min="11" max="11" width="11" customWidth="1"/>
    <col min="12" max="12" width="12" customWidth="1"/>
    <col min="13" max="13" width="10" customWidth="1"/>
    <col min="14" max="21" width="16" customWidth="1"/>
    <col min="22" max="22" width="32" customWidth="1"/>
    <col min="23" max="23" width="14" customWidth="1"/>
    <col min="24" max="25" width="24" customWidth="1"/>
  </cols>
  <sheetData>
    <row r="1" spans="1:25" ht="21" customHeight="1">
      <c r="A1" s="115" t="s">
        <v>121</v>
      </c>
    </row>
    <row r="2" spans="1:25" ht="130.5" customHeight="1">
      <c r="A2" s="116" t="s">
        <v>122</v>
      </c>
      <c r="W2" s="117" t="s">
        <v>123</v>
      </c>
    </row>
    <row r="4" spans="1:25" ht="57.75" customHeight="1">
      <c r="A4" s="118" t="s">
        <v>124</v>
      </c>
      <c r="B4" s="118" t="s">
        <v>125</v>
      </c>
      <c r="C4" s="118" t="s">
        <v>126</v>
      </c>
      <c r="D4" s="118" t="s">
        <v>127</v>
      </c>
      <c r="E4" s="118" t="s">
        <v>128</v>
      </c>
      <c r="F4" s="118" t="s">
        <v>129</v>
      </c>
      <c r="G4" s="118" t="s">
        <v>130</v>
      </c>
      <c r="H4" s="118" t="s">
        <v>131</v>
      </c>
      <c r="I4" s="118" t="s">
        <v>132</v>
      </c>
      <c r="J4" s="118" t="s">
        <v>133</v>
      </c>
      <c r="K4" s="118" t="s">
        <v>134</v>
      </c>
      <c r="L4" s="118" t="s">
        <v>135</v>
      </c>
      <c r="M4" s="118" t="s">
        <v>136</v>
      </c>
      <c r="N4" s="118" t="s">
        <v>137</v>
      </c>
      <c r="O4" s="118" t="s">
        <v>76</v>
      </c>
      <c r="P4" s="118" t="s">
        <v>77</v>
      </c>
      <c r="Q4" s="118" t="s">
        <v>78</v>
      </c>
      <c r="R4" s="118" t="s">
        <v>79</v>
      </c>
      <c r="S4" s="118" t="s">
        <v>80</v>
      </c>
      <c r="T4" s="118" t="s">
        <v>81</v>
      </c>
      <c r="U4" s="118" t="s">
        <v>82</v>
      </c>
      <c r="V4" s="118" t="s">
        <v>138</v>
      </c>
      <c r="W4" s="118" t="s">
        <v>139</v>
      </c>
      <c r="X4" s="2" t="s">
        <v>140</v>
      </c>
      <c r="Y4" s="2"/>
    </row>
    <row r="5" spans="1:25" ht="43.5" customHeight="1">
      <c r="A5" s="119" t="s">
        <v>141</v>
      </c>
      <c r="B5" s="120">
        <f>'Portfolio model'!$B$24</f>
        <v>0.11111111111111099</v>
      </c>
      <c r="C5" s="120">
        <f>'Portfolio model'!$B$25</f>
        <v>0.61111111111111105</v>
      </c>
      <c r="D5" s="120">
        <f>'Portfolio model'!$B$26</f>
        <v>0.27777777777777801</v>
      </c>
      <c r="E5" s="121">
        <f>'Portfolio model'!$D$40</f>
        <v>5</v>
      </c>
      <c r="F5" s="122">
        <f>'Portfolio model'!$D$41</f>
        <v>6</v>
      </c>
      <c r="G5" s="122">
        <f>'Portfolio model'!$D$42</f>
        <v>4</v>
      </c>
      <c r="H5" s="123">
        <f>'Portfolio model'!$D$45</f>
        <v>10</v>
      </c>
      <c r="I5" s="124">
        <f>'Portfolio model'!$B$36</f>
        <v>2.461984729800486</v>
      </c>
      <c r="J5" s="125" t="str">
        <f>TRIM(MID(IF('Portfolio model'!$B$29=1,", "&amp;'Portfolio model'!$A$29,"")&amp;IF('Portfolio model'!$B$30=1,", "&amp;'Portfolio model'!$A$30,"")&amp;IF('Portfolio model'!$B$31=1,", "&amp;'Portfolio model'!$A$31,"")&amp;IF('Portfolio model'!$B$32=1,", "&amp;'Portfolio model'!$A$32,"")&amp;IF('Portfolio model'!$B$33=1,", "&amp;'Portfolio model'!$A$33,"")&amp;IF('Portfolio model'!$B$34=1,", "&amp;'Portfolio model'!$A$34,"")&amp;IF('Portfolio model'!$B$35=1,", "&amp;'Portfolio model'!$A$35,""),3,999))</f>
        <v>Elite Mentor Network / Smart Work-Study, Aalto-Controlled Core Infrastructure, Aalto-Certified Micro-Credentials, Pedagogical Training for Staff</v>
      </c>
      <c r="K5" s="124">
        <f>'Portfolio model'!$B$40</f>
        <v>4.8999999999999995</v>
      </c>
      <c r="L5" s="126">
        <f>'Portfolio model'!$B$41</f>
        <v>6</v>
      </c>
      <c r="M5" s="124">
        <f>'Portfolio model'!$B$45</f>
        <v>5.2</v>
      </c>
      <c r="N5" s="119" t="s">
        <v>142</v>
      </c>
      <c r="O5" s="127">
        <f>'Portfolio model'!$B$29</f>
        <v>0</v>
      </c>
      <c r="P5" s="127">
        <f>'Portfolio model'!$B$30</f>
        <v>1</v>
      </c>
      <c r="Q5" s="127">
        <f>'Portfolio model'!$B$31</f>
        <v>0</v>
      </c>
      <c r="R5" s="127">
        <f>'Portfolio model'!$B$32</f>
        <v>1</v>
      </c>
      <c r="S5" s="127">
        <f>'Portfolio model'!$B$33</f>
        <v>1</v>
      </c>
      <c r="T5" s="127">
        <f>'Portfolio model'!$B$34</f>
        <v>1</v>
      </c>
      <c r="U5" s="127">
        <f>'Portfolio model'!$B$35</f>
        <v>0</v>
      </c>
      <c r="V5" s="128" t="s">
        <v>143</v>
      </c>
      <c r="W5" s="129">
        <f t="shared" ref="W5:W12" si="0">IFERROR(I5-$I$5,"")</f>
        <v>0</v>
      </c>
      <c r="X5" s="1" t="s">
        <v>144</v>
      </c>
      <c r="Y5" s="1"/>
    </row>
    <row r="6" spans="1:25" ht="43.5" customHeight="1">
      <c r="A6" s="119" t="s">
        <v>145</v>
      </c>
      <c r="B6" s="120">
        <v>0.33333333333333298</v>
      </c>
      <c r="C6" s="120">
        <v>0.33333333333333298</v>
      </c>
      <c r="D6" s="120">
        <v>0.33333333333333298</v>
      </c>
      <c r="E6" s="121">
        <v>5</v>
      </c>
      <c r="F6" s="122">
        <v>6</v>
      </c>
      <c r="G6" s="122">
        <v>4</v>
      </c>
      <c r="H6" s="123">
        <v>10</v>
      </c>
      <c r="I6" s="124">
        <v>2.4888331142526501</v>
      </c>
      <c r="J6" s="125" t="s">
        <v>146</v>
      </c>
      <c r="K6" s="124">
        <v>4.9000000000000004</v>
      </c>
      <c r="L6" s="126">
        <v>6</v>
      </c>
      <c r="M6" s="124">
        <v>5.2</v>
      </c>
      <c r="N6" s="119" t="str">
        <f t="shared" ref="N6:N12" si="1">IF(SUMPRODUCT(--(O6:U6=$O$5:$U$5))=7,"No","Yes")</f>
        <v>No</v>
      </c>
      <c r="O6" s="127">
        <f t="shared" ref="O6:U12" si="2">--ISNUMBER(SEARCH(O$4,$J6))</f>
        <v>0</v>
      </c>
      <c r="P6" s="127">
        <f t="shared" si="2"/>
        <v>1</v>
      </c>
      <c r="Q6" s="127">
        <f t="shared" si="2"/>
        <v>0</v>
      </c>
      <c r="R6" s="127">
        <f t="shared" si="2"/>
        <v>1</v>
      </c>
      <c r="S6" s="127">
        <f t="shared" si="2"/>
        <v>1</v>
      </c>
      <c r="T6" s="127">
        <f t="shared" si="2"/>
        <v>1</v>
      </c>
      <c r="U6" s="127">
        <f t="shared" si="2"/>
        <v>0</v>
      </c>
      <c r="V6" s="128" t="s">
        <v>147</v>
      </c>
      <c r="W6" s="129">
        <f t="shared" si="0"/>
        <v>2.6848384452164087E-2</v>
      </c>
      <c r="X6" s="1" t="s">
        <v>148</v>
      </c>
      <c r="Y6" s="1"/>
    </row>
    <row r="7" spans="1:25" ht="43.5" customHeight="1">
      <c r="A7" s="119" t="s">
        <v>149</v>
      </c>
      <c r="B7" s="120">
        <v>0.5</v>
      </c>
      <c r="C7" s="120">
        <v>0.25</v>
      </c>
      <c r="D7" s="120">
        <v>0.25</v>
      </c>
      <c r="E7" s="121">
        <v>5</v>
      </c>
      <c r="F7" s="122">
        <v>6</v>
      </c>
      <c r="G7" s="122">
        <v>4</v>
      </c>
      <c r="H7" s="123">
        <v>10</v>
      </c>
      <c r="I7" s="124">
        <v>2.47044583023313</v>
      </c>
      <c r="J7" s="125" t="s">
        <v>146</v>
      </c>
      <c r="K7" s="124">
        <v>4.9000000000000004</v>
      </c>
      <c r="L7" s="126">
        <v>6</v>
      </c>
      <c r="M7" s="124">
        <v>5.2</v>
      </c>
      <c r="N7" s="119" t="str">
        <f t="shared" si="1"/>
        <v>No</v>
      </c>
      <c r="O7" s="127">
        <f t="shared" si="2"/>
        <v>0</v>
      </c>
      <c r="P7" s="127">
        <f t="shared" si="2"/>
        <v>1</v>
      </c>
      <c r="Q7" s="127">
        <f t="shared" si="2"/>
        <v>0</v>
      </c>
      <c r="R7" s="127">
        <f t="shared" si="2"/>
        <v>1</v>
      </c>
      <c r="S7" s="127">
        <f t="shared" si="2"/>
        <v>1</v>
      </c>
      <c r="T7" s="127">
        <f t="shared" si="2"/>
        <v>1</v>
      </c>
      <c r="U7" s="127">
        <f t="shared" si="2"/>
        <v>0</v>
      </c>
      <c r="V7" s="128" t="s">
        <v>150</v>
      </c>
      <c r="W7" s="129">
        <f t="shared" si="0"/>
        <v>8.4611004326440309E-3</v>
      </c>
      <c r="X7" s="1" t="s">
        <v>151</v>
      </c>
      <c r="Y7" s="1"/>
    </row>
    <row r="8" spans="1:25" ht="43.5" customHeight="1">
      <c r="A8" s="119" t="s">
        <v>152</v>
      </c>
      <c r="B8" s="120">
        <v>0.2</v>
      </c>
      <c r="C8" s="120">
        <v>0.2</v>
      </c>
      <c r="D8" s="120">
        <v>0.6</v>
      </c>
      <c r="E8" s="121">
        <v>5</v>
      </c>
      <c r="F8" s="122">
        <v>6</v>
      </c>
      <c r="G8" s="122">
        <v>4</v>
      </c>
      <c r="H8" s="123">
        <v>10</v>
      </c>
      <c r="I8" s="124">
        <v>2.55258732390873</v>
      </c>
      <c r="J8" s="125" t="s">
        <v>146</v>
      </c>
      <c r="K8" s="124">
        <v>4.9000000000000004</v>
      </c>
      <c r="L8" s="126">
        <v>6</v>
      </c>
      <c r="M8" s="124">
        <v>5.2</v>
      </c>
      <c r="N8" s="119" t="str">
        <f t="shared" si="1"/>
        <v>No</v>
      </c>
      <c r="O8" s="127">
        <f t="shared" si="2"/>
        <v>0</v>
      </c>
      <c r="P8" s="127">
        <f t="shared" si="2"/>
        <v>1</v>
      </c>
      <c r="Q8" s="127">
        <f t="shared" si="2"/>
        <v>0</v>
      </c>
      <c r="R8" s="127">
        <f t="shared" si="2"/>
        <v>1</v>
      </c>
      <c r="S8" s="127">
        <f t="shared" si="2"/>
        <v>1</v>
      </c>
      <c r="T8" s="127">
        <f t="shared" si="2"/>
        <v>1</v>
      </c>
      <c r="U8" s="127">
        <f t="shared" si="2"/>
        <v>0</v>
      </c>
      <c r="V8" s="128" t="s">
        <v>153</v>
      </c>
      <c r="W8" s="129">
        <f t="shared" si="0"/>
        <v>9.0602594108244006E-2</v>
      </c>
      <c r="X8" s="1" t="s">
        <v>154</v>
      </c>
      <c r="Y8" s="1"/>
    </row>
    <row r="9" spans="1:25" ht="43.5" customHeight="1">
      <c r="A9" s="119" t="s">
        <v>155</v>
      </c>
      <c r="B9" s="120">
        <v>0.11111111111111099</v>
      </c>
      <c r="C9" s="120">
        <v>0.61111111111111105</v>
      </c>
      <c r="D9" s="120">
        <v>0.27777777777777801</v>
      </c>
      <c r="E9" s="121">
        <v>4.5</v>
      </c>
      <c r="F9" s="122">
        <v>6</v>
      </c>
      <c r="G9" s="122">
        <v>4</v>
      </c>
      <c r="H9" s="123">
        <v>10</v>
      </c>
      <c r="I9" s="124">
        <v>2.4491771040013202</v>
      </c>
      <c r="J9" s="125" t="s">
        <v>156</v>
      </c>
      <c r="K9" s="124">
        <v>4.4000000000000004</v>
      </c>
      <c r="L9" s="126">
        <v>6</v>
      </c>
      <c r="M9" s="124">
        <v>5</v>
      </c>
      <c r="N9" s="119" t="str">
        <f t="shared" si="1"/>
        <v>Yes</v>
      </c>
      <c r="O9" s="127">
        <f t="shared" si="2"/>
        <v>1</v>
      </c>
      <c r="P9" s="127">
        <f t="shared" si="2"/>
        <v>1</v>
      </c>
      <c r="Q9" s="127">
        <f t="shared" si="2"/>
        <v>0</v>
      </c>
      <c r="R9" s="127">
        <f t="shared" si="2"/>
        <v>0</v>
      </c>
      <c r="S9" s="127">
        <f t="shared" si="2"/>
        <v>0</v>
      </c>
      <c r="T9" s="127">
        <f t="shared" si="2"/>
        <v>1</v>
      </c>
      <c r="U9" s="127">
        <f t="shared" si="2"/>
        <v>1</v>
      </c>
      <c r="V9" s="128" t="s">
        <v>157</v>
      </c>
      <c r="W9" s="129">
        <f t="shared" si="0"/>
        <v>-1.2807625799165834E-2</v>
      </c>
      <c r="X9" s="1" t="s">
        <v>158</v>
      </c>
      <c r="Y9" s="1"/>
    </row>
    <row r="10" spans="1:25" ht="43.5" customHeight="1">
      <c r="A10" s="119" t="s">
        <v>159</v>
      </c>
      <c r="B10" s="120">
        <v>0.11111111111111099</v>
      </c>
      <c r="C10" s="120">
        <v>0.61111111111111105</v>
      </c>
      <c r="D10" s="120">
        <v>0.27777777777777801</v>
      </c>
      <c r="E10" s="121">
        <v>5.5</v>
      </c>
      <c r="F10" s="122">
        <v>6</v>
      </c>
      <c r="G10" s="122">
        <v>4</v>
      </c>
      <c r="H10" s="123">
        <v>10</v>
      </c>
      <c r="I10" s="124">
        <v>2.49492748773699</v>
      </c>
      <c r="J10" s="125" t="s">
        <v>160</v>
      </c>
      <c r="K10" s="124">
        <v>5.3</v>
      </c>
      <c r="L10" s="126">
        <v>6</v>
      </c>
      <c r="M10" s="124">
        <v>5.7</v>
      </c>
      <c r="N10" s="119" t="str">
        <f t="shared" si="1"/>
        <v>Yes</v>
      </c>
      <c r="O10" s="127">
        <f t="shared" si="2"/>
        <v>1</v>
      </c>
      <c r="P10" s="127">
        <f t="shared" si="2"/>
        <v>1</v>
      </c>
      <c r="Q10" s="127">
        <f t="shared" si="2"/>
        <v>0</v>
      </c>
      <c r="R10" s="127">
        <f t="shared" si="2"/>
        <v>1</v>
      </c>
      <c r="S10" s="127">
        <f t="shared" si="2"/>
        <v>1</v>
      </c>
      <c r="T10" s="127">
        <f t="shared" si="2"/>
        <v>0</v>
      </c>
      <c r="U10" s="127">
        <f t="shared" si="2"/>
        <v>0</v>
      </c>
      <c r="V10" s="128" t="s">
        <v>161</v>
      </c>
      <c r="W10" s="129">
        <f t="shared" si="0"/>
        <v>3.294275793650403E-2</v>
      </c>
      <c r="X10" s="1" t="s">
        <v>162</v>
      </c>
      <c r="Y10" s="1"/>
    </row>
    <row r="11" spans="1:25" ht="57.75" customHeight="1">
      <c r="A11" s="119" t="s">
        <v>163</v>
      </c>
      <c r="B11" s="120">
        <v>0.11111111111111099</v>
      </c>
      <c r="C11" s="120">
        <v>0.61111111111111105</v>
      </c>
      <c r="D11" s="120">
        <v>0.27777777777777801</v>
      </c>
      <c r="E11" s="121">
        <v>5</v>
      </c>
      <c r="F11" s="122">
        <v>5</v>
      </c>
      <c r="G11" s="122">
        <v>4</v>
      </c>
      <c r="H11" s="123">
        <v>10</v>
      </c>
      <c r="I11" s="124">
        <v>2.2724273799055599</v>
      </c>
      <c r="J11" s="125" t="s">
        <v>164</v>
      </c>
      <c r="K11" s="124">
        <v>4.5999999999999996</v>
      </c>
      <c r="L11" s="126">
        <v>5</v>
      </c>
      <c r="M11" s="124">
        <v>5</v>
      </c>
      <c r="N11" s="119" t="str">
        <f t="shared" si="1"/>
        <v>Yes</v>
      </c>
      <c r="O11" s="127">
        <f t="shared" si="2"/>
        <v>0</v>
      </c>
      <c r="P11" s="127">
        <f t="shared" si="2"/>
        <v>1</v>
      </c>
      <c r="Q11" s="127">
        <f t="shared" si="2"/>
        <v>1</v>
      </c>
      <c r="R11" s="127">
        <f t="shared" si="2"/>
        <v>1</v>
      </c>
      <c r="S11" s="127">
        <f t="shared" si="2"/>
        <v>1</v>
      </c>
      <c r="T11" s="127">
        <f t="shared" si="2"/>
        <v>0</v>
      </c>
      <c r="U11" s="127">
        <f t="shared" si="2"/>
        <v>0</v>
      </c>
      <c r="V11" s="128" t="s">
        <v>165</v>
      </c>
      <c r="W11" s="129">
        <f t="shared" si="0"/>
        <v>-0.18955734989492612</v>
      </c>
      <c r="X11" s="1" t="s">
        <v>166</v>
      </c>
      <c r="Y11" s="1"/>
    </row>
    <row r="12" spans="1:25" ht="28.5" customHeight="1">
      <c r="A12" s="119" t="s">
        <v>167</v>
      </c>
      <c r="B12" s="120">
        <v>0.11111111111111099</v>
      </c>
      <c r="C12" s="120">
        <v>0.61111111111111105</v>
      </c>
      <c r="D12" s="120">
        <v>0.27777777777777801</v>
      </c>
      <c r="E12" s="121">
        <v>5</v>
      </c>
      <c r="F12" s="122">
        <v>6</v>
      </c>
      <c r="G12" s="122">
        <v>3</v>
      </c>
      <c r="H12" s="123">
        <v>10</v>
      </c>
      <c r="I12" s="124">
        <v>1.9093012490354899</v>
      </c>
      <c r="J12" s="125" t="s">
        <v>168</v>
      </c>
      <c r="K12" s="124">
        <v>3</v>
      </c>
      <c r="L12" s="126">
        <v>5</v>
      </c>
      <c r="M12" s="124">
        <v>3.5</v>
      </c>
      <c r="N12" s="119" t="str">
        <f t="shared" si="1"/>
        <v>Yes</v>
      </c>
      <c r="O12" s="127">
        <f t="shared" si="2"/>
        <v>1</v>
      </c>
      <c r="P12" s="127">
        <f t="shared" si="2"/>
        <v>1</v>
      </c>
      <c r="Q12" s="127">
        <f t="shared" si="2"/>
        <v>0</v>
      </c>
      <c r="R12" s="127">
        <f t="shared" si="2"/>
        <v>0</v>
      </c>
      <c r="S12" s="127">
        <f t="shared" si="2"/>
        <v>0</v>
      </c>
      <c r="T12" s="127">
        <f t="shared" si="2"/>
        <v>1</v>
      </c>
      <c r="U12" s="127">
        <f t="shared" si="2"/>
        <v>0</v>
      </c>
      <c r="V12" s="128" t="s">
        <v>169</v>
      </c>
      <c r="W12" s="129">
        <f t="shared" si="0"/>
        <v>-0.55268348076499607</v>
      </c>
      <c r="X12" s="1" t="s">
        <v>170</v>
      </c>
      <c r="Y12" s="1"/>
    </row>
    <row r="16" spans="1:25" ht="14.5">
      <c r="A16" s="130" t="s">
        <v>171</v>
      </c>
      <c r="J16" s="131" t="s">
        <v>172</v>
      </c>
      <c r="K16" s="107"/>
    </row>
    <row r="17" spans="1:11" ht="57.75" customHeight="1">
      <c r="A17" s="116" t="s">
        <v>173</v>
      </c>
      <c r="J17" s="132" t="str">
        <f>J5</f>
        <v>Elite Mentor Network / Smart Work-Study, Aalto-Controlled Core Infrastructure, Aalto-Certified Micro-Credentials, Pedagogical Training for Staff</v>
      </c>
      <c r="K17" s="107"/>
    </row>
    <row r="18" spans="1:11" ht="57.75" customHeight="1">
      <c r="A18" s="116" t="s">
        <v>174</v>
      </c>
      <c r="J18" s="107" t="s">
        <v>175</v>
      </c>
      <c r="K18" s="133">
        <f>I5</f>
        <v>2.461984729800486</v>
      </c>
    </row>
    <row r="19" spans="1:11" ht="130.5" customHeight="1">
      <c r="A19" s="116" t="s">
        <v>176</v>
      </c>
    </row>
  </sheetData>
  <mergeCells count="9">
    <mergeCell ref="X9:Y9"/>
    <mergeCell ref="X10:Y10"/>
    <mergeCell ref="X11:Y11"/>
    <mergeCell ref="X12:Y12"/>
    <mergeCell ref="X4:Y4"/>
    <mergeCell ref="X5:Y5"/>
    <mergeCell ref="X6:Y6"/>
    <mergeCell ref="X7:Y7"/>
    <mergeCell ref="X8:Y8"/>
  </mergeCells>
  <conditionalFormatting sqref="N5:N12">
    <cfRule type="cellIs" dxfId="4" priority="2" operator="equal">
      <formula>"Yes"</formula>
    </cfRule>
    <cfRule type="cellIs" dxfId="3" priority="3" operator="equal">
      <formula>"No"</formula>
    </cfRule>
    <cfRule type="cellIs" dxfId="2" priority="4" operator="equal">
      <formula>"Base"</formula>
    </cfRule>
  </conditionalFormatting>
  <conditionalFormatting sqref="W5:W12">
    <cfRule type="cellIs" dxfId="1" priority="5" operator="greaterThan">
      <formula>0</formula>
    </cfRule>
    <cfRule type="cellIs" dxfId="0" priority="6" operator="lessThan">
      <formula>0</formula>
    </cfRule>
  </conditionalFormatting>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Scenarios probability</vt:lpstr>
      <vt:lpstr>Elicitation of functions</vt:lpstr>
      <vt:lpstr>Elicitation of weights</vt:lpstr>
      <vt:lpstr>Action Performance by Scenario</vt:lpstr>
      <vt:lpstr>Portfolio model</vt:lpstr>
      <vt:lpstr>Sensitivity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lê trường giang</cp:lastModifiedBy>
  <dcterms:created xsi:type="dcterms:W3CDTF">2026-04-15T17:32:01Z</dcterms:created>
  <dcterms:modified xsi:type="dcterms:W3CDTF">2026-04-15T17:32:13Z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2026-03-23T22:22:41Z</dcterms:created>
  <dc:creator>Nguyen Giang</dc:creator>
  <dc:description/>
  <dc:language>en-US</dc:language>
  <cp:lastModifiedBy>nguyễn lê trường giang</cp:lastModifiedBy>
  <dcterms:modified xsi:type="dcterms:W3CDTF">2026-04-15T16:51:20Z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0x0101001B0BCE67AA3A134FA7E7EE5C85D85BA9</vt:lpwstr>
  </property>
</Properties>
</file>